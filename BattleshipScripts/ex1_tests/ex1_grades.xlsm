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BattleShip\BattleshipScripts\ex1_tests\"/>
    </mc:Choice>
  </mc:AlternateContent>
  <bookViews>
    <workbookView xWindow="480" yWindow="90" windowWidth="14565" windowHeight="7590" tabRatio="448"/>
  </bookViews>
  <sheets>
    <sheet name="Test Results" sheetId="1" r:id="rId1"/>
    <sheet name="Score" sheetId="7" r:id="rId2"/>
    <sheet name="Manual Notes" sheetId="8" r:id="rId3"/>
    <sheet name="Did The Bonus" sheetId="4" r:id="rId4"/>
  </sheets>
  <definedNames>
    <definedName name="_xlnm._FilterDatabase" localSheetId="1" hidden="1">Score!#REF!</definedName>
    <definedName name="ERRORS">Score!$B$3:$B$90</definedName>
    <definedName name="SCORES">Score!$C$3:$C$90</definedName>
  </definedNames>
  <calcPr calcId="152511"/>
</workbook>
</file>

<file path=xl/calcChain.xml><?xml version="1.0" encoding="utf-8"?>
<calcChain xmlns="http://schemas.openxmlformats.org/spreadsheetml/2006/main">
  <c r="D145" i="1" l="1"/>
  <c r="G1" i="1" a="1"/>
  <c r="G1" i="1" s="1"/>
  <c r="F3" i="7"/>
  <c r="E3" i="7"/>
  <c r="F123" i="1"/>
  <c r="F124" i="1" s="1"/>
  <c r="F125" i="1" s="1"/>
  <c r="F126" i="1"/>
  <c r="F127" i="1" s="1"/>
  <c r="F128" i="1"/>
  <c r="F129" i="1" s="1"/>
  <c r="F130" i="1" s="1"/>
  <c r="F131" i="1"/>
  <c r="F132" i="1" s="1"/>
  <c r="F133" i="1" s="1"/>
  <c r="F134" i="1"/>
  <c r="F135" i="1"/>
  <c r="F9" i="1"/>
  <c r="F10" i="1" s="1"/>
  <c r="F11" i="1" s="1"/>
  <c r="F12" i="1"/>
  <c r="F13" i="1" s="1"/>
  <c r="F14" i="1"/>
  <c r="F15" i="1" s="1"/>
  <c r="F16" i="1" s="1"/>
  <c r="F17" i="1"/>
  <c r="F18" i="1" s="1"/>
  <c r="F19" i="1" s="1"/>
  <c r="F20" i="1"/>
  <c r="F21" i="1" s="1"/>
  <c r="F22" i="1"/>
  <c r="F23" i="1" s="1"/>
  <c r="F24" i="1" s="1"/>
  <c r="F25" i="1"/>
  <c r="F26" i="1" s="1"/>
  <c r="F27" i="1" s="1"/>
  <c r="F28" i="1"/>
  <c r="F29" i="1" s="1"/>
  <c r="F30" i="1" s="1"/>
  <c r="F31" i="1"/>
  <c r="F32" i="1" s="1"/>
  <c r="F33" i="1"/>
  <c r="F34" i="1" s="1"/>
  <c r="F35" i="1"/>
  <c r="F36" i="1" s="1"/>
  <c r="F37" i="1" s="1"/>
  <c r="F38" i="1"/>
  <c r="F39" i="1" s="1"/>
  <c r="F40" i="1" s="1"/>
  <c r="F41" i="1"/>
  <c r="F42" i="1" s="1"/>
  <c r="F43" i="1" s="1"/>
  <c r="F44" i="1"/>
  <c r="F45" i="1" s="1"/>
  <c r="F46" i="1" s="1"/>
  <c r="F47" i="1"/>
  <c r="F48" i="1" s="1"/>
  <c r="F49" i="1" s="1"/>
  <c r="F50" i="1"/>
  <c r="F51" i="1" s="1"/>
  <c r="F52" i="1"/>
  <c r="F53" i="1"/>
  <c r="F54" i="1" s="1"/>
  <c r="F55" i="1" s="1"/>
  <c r="F56" i="1"/>
  <c r="F57" i="1" s="1"/>
  <c r="F58" i="1"/>
  <c r="F59" i="1" s="1"/>
  <c r="F60" i="1" s="1"/>
  <c r="F61" i="1"/>
  <c r="F62" i="1" s="1"/>
  <c r="F63" i="1" s="1"/>
  <c r="F64" i="1"/>
  <c r="F65" i="1" s="1"/>
  <c r="F66" i="1"/>
  <c r="F67" i="1" s="1"/>
  <c r="F68" i="1"/>
  <c r="F69" i="1" s="1"/>
  <c r="F70" i="1"/>
  <c r="F71" i="1" s="1"/>
  <c r="F72" i="1" s="1"/>
  <c r="F73" i="1"/>
  <c r="F74" i="1" s="1"/>
  <c r="F75" i="1" s="1"/>
  <c r="F76" i="1"/>
  <c r="F77" i="1" s="1"/>
  <c r="F78" i="1"/>
  <c r="F79" i="1" s="1"/>
  <c r="F80" i="1" s="1"/>
  <c r="F81" i="1"/>
  <c r="F82" i="1" s="1"/>
  <c r="F83" i="1"/>
  <c r="F84" i="1" s="1"/>
  <c r="F85" i="1" s="1"/>
  <c r="F86" i="1"/>
  <c r="F87" i="1" s="1"/>
  <c r="F88" i="1"/>
  <c r="F89" i="1" s="1"/>
  <c r="F90" i="1" s="1"/>
  <c r="F91" i="1"/>
  <c r="F92" i="1" s="1"/>
  <c r="F93" i="1" s="1"/>
  <c r="F94" i="1"/>
  <c r="F95" i="1" s="1"/>
  <c r="F96" i="1"/>
  <c r="F97" i="1" s="1"/>
  <c r="F98" i="1" s="1"/>
  <c r="F99" i="1"/>
  <c r="F100" i="1" s="1"/>
  <c r="F101" i="1" s="1"/>
  <c r="F102" i="1"/>
  <c r="F103" i="1" s="1"/>
  <c r="F104" i="1" s="1"/>
  <c r="F105" i="1"/>
  <c r="F106" i="1" s="1"/>
  <c r="F107" i="1" s="1"/>
  <c r="F108" i="1"/>
  <c r="F109" i="1"/>
  <c r="F136" i="1"/>
  <c r="F137" i="1" s="1"/>
  <c r="F138" i="1"/>
  <c r="F139" i="1" s="1"/>
  <c r="F110" i="1"/>
  <c r="F111" i="1" s="1"/>
  <c r="F112" i="1"/>
  <c r="F113" i="1" s="1"/>
  <c r="F114" i="1" s="1"/>
  <c r="F115" i="1"/>
  <c r="F116" i="1" s="1"/>
  <c r="F117" i="1" s="1"/>
  <c r="F118" i="1"/>
  <c r="F119" i="1"/>
  <c r="F120" i="1" s="1"/>
  <c r="F121" i="1" s="1"/>
  <c r="F122" i="1" s="1"/>
  <c r="F6" i="1"/>
  <c r="F7" i="1" s="1"/>
  <c r="F8" i="1" s="1"/>
  <c r="F3" i="1"/>
  <c r="F4" i="1" s="1"/>
  <c r="F5" i="1" s="1"/>
  <c r="AD2" i="1" l="1"/>
  <c r="V2" i="1"/>
  <c r="N2" i="1"/>
  <c r="AH1" i="1"/>
  <c r="Z1" i="1"/>
  <c r="R1" i="1"/>
  <c r="J1" i="1"/>
  <c r="AC2" i="1"/>
  <c r="U2" i="1"/>
  <c r="M2" i="1"/>
  <c r="AG1" i="1"/>
  <c r="Y1" i="1"/>
  <c r="U1" i="1"/>
  <c r="Q1" i="1"/>
  <c r="I1" i="1"/>
  <c r="AF2" i="1"/>
  <c r="AB2" i="1"/>
  <c r="X2" i="1"/>
  <c r="T2" i="1"/>
  <c r="P2" i="1"/>
  <c r="L2" i="1"/>
  <c r="H2" i="1"/>
  <c r="AF1" i="1"/>
  <c r="AB1" i="1"/>
  <c r="X1" i="1"/>
  <c r="T1" i="1"/>
  <c r="P1" i="1"/>
  <c r="L1" i="1"/>
  <c r="H1" i="1"/>
  <c r="AH2" i="1"/>
  <c r="Z2" i="1"/>
  <c r="R2" i="1"/>
  <c r="J2" i="1"/>
  <c r="AD1" i="1"/>
  <c r="V1" i="1"/>
  <c r="N1" i="1"/>
  <c r="AG2" i="1"/>
  <c r="Y2" i="1"/>
  <c r="Q2" i="1"/>
  <c r="I2" i="1"/>
  <c r="AC1" i="1"/>
  <c r="M1" i="1"/>
  <c r="AE2" i="1"/>
  <c r="AA2" i="1"/>
  <c r="W2" i="1"/>
  <c r="S2" i="1"/>
  <c r="O2" i="1"/>
  <c r="K2" i="1"/>
  <c r="G2" i="1"/>
  <c r="AE1" i="1"/>
  <c r="AA1" i="1"/>
  <c r="W1" i="1"/>
  <c r="S1" i="1"/>
  <c r="O1" i="1"/>
  <c r="K1" i="1"/>
</calcChain>
</file>

<file path=xl/sharedStrings.xml><?xml version="1.0" encoding="utf-8"?>
<sst xmlns="http://schemas.openxmlformats.org/spreadsheetml/2006/main" count="341" uniqueCount="294">
  <si>
    <t>Team</t>
  </si>
  <si>
    <t>ID</t>
  </si>
  <si>
    <t>Comments</t>
  </si>
  <si>
    <t>Final Grade</t>
  </si>
  <si>
    <t>adamreiter</t>
  </si>
  <si>
    <t>209640077</t>
  </si>
  <si>
    <t>307858209</t>
  </si>
  <si>
    <t>311401269</t>
  </si>
  <si>
    <t>amitmarcus</t>
  </si>
  <si>
    <t>100</t>
  </si>
  <si>
    <t>200457356</t>
  </si>
  <si>
    <t>201630332</t>
  </si>
  <si>
    <t>301739827</t>
  </si>
  <si>
    <t>avivtahasa</t>
  </si>
  <si>
    <t>304863145</t>
  </si>
  <si>
    <t>302882121</t>
  </si>
  <si>
    <t>320595606</t>
  </si>
  <si>
    <t>barschwartz</t>
  </si>
  <si>
    <t>204153720</t>
  </si>
  <si>
    <t>312313208</t>
  </si>
  <si>
    <t>baruchmakro</t>
  </si>
  <si>
    <t>305420291</t>
  </si>
  <si>
    <t>203522917</t>
  </si>
  <si>
    <t>313585069</t>
  </si>
  <si>
    <t>benohayon</t>
  </si>
  <si>
    <t>304848518</t>
  </si>
  <si>
    <t>313296550</t>
  </si>
  <si>
    <t>201606951</t>
  </si>
  <si>
    <t>danielf1</t>
  </si>
  <si>
    <t>302575436</t>
  </si>
  <si>
    <t>200968873</t>
  </si>
  <si>
    <t>danielkozlov</t>
  </si>
  <si>
    <t>316523778</t>
  </si>
  <si>
    <t>206920100</t>
  </si>
  <si>
    <t>208207761</t>
  </si>
  <si>
    <t>dansheinin</t>
  </si>
  <si>
    <t>204093124</t>
  </si>
  <si>
    <t>204664205</t>
  </si>
  <si>
    <t>301285896</t>
  </si>
  <si>
    <t>galarnon1</t>
  </si>
  <si>
    <t>203922687</t>
  </si>
  <si>
    <t>324540061</t>
  </si>
  <si>
    <t>304916265</t>
  </si>
  <si>
    <t>galklein</t>
  </si>
  <si>
    <t>gelbart1</t>
  </si>
  <si>
    <t>200887941</t>
  </si>
  <si>
    <t>303013841</t>
  </si>
  <si>
    <t>hananbitan</t>
  </si>
  <si>
    <t xml:space="preserve">
DID NOT COMPILE!!!
</t>
  </si>
  <si>
    <t>201590684</t>
  </si>
  <si>
    <t>inbarm1</t>
  </si>
  <si>
    <t>203123443</t>
  </si>
  <si>
    <t>302618616</t>
  </si>
  <si>
    <t>304849532</t>
  </si>
  <si>
    <t>itaysofer</t>
  </si>
  <si>
    <t>201507357</t>
  </si>
  <si>
    <t>201507340</t>
  </si>
  <si>
    <t>305625667</t>
  </si>
  <si>
    <t>jonathans1</t>
  </si>
  <si>
    <t>303082044</t>
  </si>
  <si>
    <t>301358776</t>
  </si>
  <si>
    <t>kerenshani</t>
  </si>
  <si>
    <t>204147243</t>
  </si>
  <si>
    <t>302285713</t>
  </si>
  <si>
    <t>307949024</t>
  </si>
  <si>
    <t>matanshaked</t>
  </si>
  <si>
    <t>205830953</t>
  </si>
  <si>
    <t>316334028</t>
  </si>
  <si>
    <t>207541400</t>
  </si>
  <si>
    <t>mayaisrael</t>
  </si>
  <si>
    <t>312501737</t>
  </si>
  <si>
    <t>204408694</t>
  </si>
  <si>
    <t>307858514</t>
  </si>
  <si>
    <t>mordehaiz</t>
  </si>
  <si>
    <t>205969710</t>
  </si>
  <si>
    <t>302444229</t>
  </si>
  <si>
    <t>200024438</t>
  </si>
  <si>
    <t>mostafa</t>
  </si>
  <si>
    <t>204559074</t>
  </si>
  <si>
    <t>302383682</t>
  </si>
  <si>
    <t>nadircohen</t>
  </si>
  <si>
    <t>204683783</t>
  </si>
  <si>
    <t>neryam</t>
  </si>
  <si>
    <t>305208357</t>
  </si>
  <si>
    <t>304849862</t>
  </si>
  <si>
    <t>302961230</t>
  </si>
  <si>
    <t>nivk</t>
  </si>
  <si>
    <t>305649931</t>
  </si>
  <si>
    <t>206264293</t>
  </si>
  <si>
    <t>ofekamir</t>
  </si>
  <si>
    <t>305637688</t>
  </si>
  <si>
    <t>203954276</t>
  </si>
  <si>
    <t>301798617</t>
  </si>
  <si>
    <t>ofirg1</t>
  </si>
  <si>
    <t>305645806</t>
  </si>
  <si>
    <t>204537997</t>
  </si>
  <si>
    <t>204196729</t>
  </si>
  <si>
    <t>oribarel</t>
  </si>
  <si>
    <t>305135956</t>
  </si>
  <si>
    <t>305210189</t>
  </si>
  <si>
    <t>orperel</t>
  </si>
  <si>
    <t>200732444</t>
  </si>
  <si>
    <t>305007668</t>
  </si>
  <si>
    <t>ramhillel</t>
  </si>
  <si>
    <t>201467693</t>
  </si>
  <si>
    <t>200834174</t>
  </si>
  <si>
    <t>razkliger</t>
  </si>
  <si>
    <t>204077556</t>
  </si>
  <si>
    <t>305031692</t>
  </si>
  <si>
    <t>308019793</t>
  </si>
  <si>
    <t>schwart7</t>
  </si>
  <si>
    <t>309475721</t>
  </si>
  <si>
    <t>301431664</t>
  </si>
  <si>
    <t>shiranmazor</t>
  </si>
  <si>
    <t>303047401</t>
  </si>
  <si>
    <t>201324332</t>
  </si>
  <si>
    <t>200857233</t>
  </si>
  <si>
    <t>stephank</t>
  </si>
  <si>
    <t>316802222</t>
  </si>
  <si>
    <t>203519541</t>
  </si>
  <si>
    <t>308545136</t>
  </si>
  <si>
    <t>talkaminer</t>
  </si>
  <si>
    <t>305624173</t>
  </si>
  <si>
    <t>204204788</t>
  </si>
  <si>
    <t>tomerf2</t>
  </si>
  <si>
    <t>201241825</t>
  </si>
  <si>
    <t>305747370</t>
  </si>
  <si>
    <t>300524105</t>
  </si>
  <si>
    <t>tomnatan</t>
  </si>
  <si>
    <t>305630626</t>
  </si>
  <si>
    <t>203754833</t>
  </si>
  <si>
    <t>yaronsegev</t>
  </si>
  <si>
    <t>300565694</t>
  </si>
  <si>
    <t>302990080</t>
  </si>
  <si>
    <t>303067961</t>
  </si>
  <si>
    <t>yosephian</t>
  </si>
  <si>
    <t>305151789</t>
  </si>
  <si>
    <t>304979214</t>
  </si>
  <si>
    <t>nadavkeren</t>
  </si>
  <si>
    <t>ormalkai</t>
  </si>
  <si>
    <t>ronnysivan</t>
  </si>
  <si>
    <t>asafalkalay</t>
  </si>
  <si>
    <t>ohadglass</t>
  </si>
  <si>
    <t>noamhadad</t>
  </si>
  <si>
    <t>nabeelhodroj</t>
  </si>
  <si>
    <t>yehezkelc</t>
  </si>
  <si>
    <t>yuvalkaspi</t>
  </si>
  <si>
    <t>omerlic1</t>
  </si>
  <si>
    <t>zoharmeir1</t>
  </si>
  <si>
    <t>gracenakhleh</t>
  </si>
  <si>
    <t>meitalswissa</t>
  </si>
  <si>
    <t>mattanserry</t>
  </si>
  <si>
    <t>perifishgold</t>
  </si>
  <si>
    <t>danachernov</t>
  </si>
  <si>
    <t>Technical</t>
  </si>
  <si>
    <t>Item</t>
  </si>
  <si>
    <t>Score</t>
  </si>
  <si>
    <t>Tie Game - wrong handling</t>
  </si>
  <si>
    <t>Declared a legal board as illegal</t>
  </si>
  <si>
    <t>Extra spaces in game results prints</t>
  </si>
  <si>
    <t>Extra spaces in errors prints</t>
  </si>
  <si>
    <t>Declared a legal board as illegal
Extra spaces in game results prints
Extra spaces in errors prints</t>
  </si>
  <si>
    <t>Inaccurate error prints</t>
  </si>
  <si>
    <t>Debug prints</t>
  </si>
  <si>
    <t>Reported missing attack file for the wrong player</t>
  </si>
  <si>
    <t>Debug prints
Reported missing attack file for the wrong player</t>
  </si>
  <si>
    <t>Declared wrong path on an empty folder</t>
  </si>
  <si>
    <t>Game ended in a wrong score</t>
  </si>
  <si>
    <t>Declared wrong path on an empty folder
Inaccurate error prints
Game ended in a wrong score</t>
  </si>
  <si>
    <t>Played a game on an illegal board</t>
  </si>
  <si>
    <t>Tie Game - didn't print "Points:"</t>
  </si>
  <si>
    <t>Did not print game results at all</t>
  </si>
  <si>
    <t>Broken Cmake</t>
  </si>
  <si>
    <t>Notes</t>
  </si>
  <si>
    <t>Did Not Compile</t>
  </si>
  <si>
    <t>itamark</t>
  </si>
  <si>
    <t>precompiled headers in cmake but not in folder</t>
  </si>
  <si>
    <t>dirent ++</t>
  </si>
  <si>
    <t>TCHAR</t>
  </si>
  <si>
    <t>General Notes:</t>
  </si>
  <si>
    <t>Common Mistakes</t>
  </si>
  <si>
    <t>BadBoard1</t>
  </si>
  <si>
    <t>Did not print adamelhacham for team galklein to excell - gave gal adam's id</t>
  </si>
  <si>
    <t>Bugs &amp; Features</t>
  </si>
  <si>
    <t>Add manual notes spreadsheet</t>
  </si>
  <si>
    <t>Extra line at end of print</t>
  </si>
  <si>
    <t>Game ended in a wrong score
Extra line at end of print</t>
  </si>
  <si>
    <t>Prints "wrong path" error every time</t>
  </si>
  <si>
    <t>Bad score</t>
  </si>
  <si>
    <t>Game 1</t>
  </si>
  <si>
    <t>Ignored - divided into teams</t>
  </si>
  <si>
    <t>Tried to load a non existing file</t>
  </si>
  <si>
    <t>Did not report a missing file</t>
  </si>
  <si>
    <t>Game ended in a wrong score
Tried to load a non existing file
Did not report a missing file</t>
  </si>
  <si>
    <t>Printed extra error messages</t>
  </si>
  <si>
    <t>Extra spaces in game results prints
Extra spaces in errors prints
Extra line at end of print
Inaccurate error prints - "missing board"
Game ended in a wrong score - Suppose to be tie game but wasn't</t>
  </si>
  <si>
    <t>Declared a winner in a tie game</t>
  </si>
  <si>
    <t>Game ended in a wrong score - Mishandled end of moves for player</t>
  </si>
  <si>
    <t>Reporting that the wrong player won in game results</t>
  </si>
  <si>
    <t>Declared a legal board as illegal
Extra spaces in errors prints
Game ended in a wrong score
Debug prints
Played a game on an illegal board
Reporting that the wrong player won in game results
Tie Game - didn't print "Points:"</t>
  </si>
  <si>
    <t>Error parsing "dirty legal moves"</t>
  </si>
  <si>
    <t>Missing bonus file</t>
  </si>
  <si>
    <t>304720063</t>
  </si>
  <si>
    <t>203056585</t>
  </si>
  <si>
    <t>304957673</t>
  </si>
  <si>
    <t>302169040</t>
  </si>
  <si>
    <t>305704546</t>
  </si>
  <si>
    <t>305586992</t>
  </si>
  <si>
    <t>304983257</t>
  </si>
  <si>
    <t>304825698</t>
  </si>
  <si>
    <t>304817471</t>
  </si>
  <si>
    <t>314576349</t>
  </si>
  <si>
    <t>303021406</t>
  </si>
  <si>
    <t>200978732</t>
  </si>
  <si>
    <t>203317565</t>
  </si>
  <si>
    <t>203972153</t>
  </si>
  <si>
    <t>204540132</t>
  </si>
  <si>
    <t>305151995</t>
  </si>
  <si>
    <t>203599238</t>
  </si>
  <si>
    <t>Missing bonus file
Played games on all illegal boards
Extra line at end of print</t>
  </si>
  <si>
    <t>Missing bonus file
Inaccurate error prints - "wrong size" lowercase for Player B</t>
  </si>
  <si>
    <t>Stuck in an infinite loop when moves end</t>
  </si>
  <si>
    <t>Infinite loop</t>
  </si>
  <si>
    <t>Tamarhadas</t>
  </si>
  <si>
    <t>can't read legal folders - 21.4, 20:00</t>
  </si>
  <si>
    <t>20.4, 20:00</t>
  </si>
  <si>
    <t>Infinite loop - when game is tied
Game ended in a wrong score
Inaccurate prints - lowercase w in Won
Error parsing "dirty legal moves"
Inaccurate error prints (Missing files)</t>
  </si>
  <si>
    <t>Broken CMakeLists</t>
  </si>
  <si>
    <t>Inaccurate error prints
Did not print game results at all
Broken CMakeLists</t>
  </si>
  <si>
    <t>Missing bonus file
Broken CMakeLists
Declared wrong path on an empty folder
Inaccurate prints - points</t>
  </si>
  <si>
    <t>Inaccurate error prints
Extra spaces in game results prints
Declared wrong path on an empty folder
Broken CMakeLists</t>
  </si>
  <si>
    <t>Broken CMakeLists
Declared wrong path when it wasn't - didn't play on 2 good boards</t>
  </si>
  <si>
    <t>getch() + cant read folders -  - 21.4, 20:00</t>
  </si>
  <si>
    <t>still to check</t>
  </si>
  <si>
    <t>Did not compile - TCHAR - 20.4, 20:00</t>
  </si>
  <si>
    <t>Did not compile - dirent ++ - 20.4, 20:00</t>
  </si>
  <si>
    <t>weird + Too long + no prints at all - 21.4, 20:00</t>
  </si>
  <si>
    <t>Wrong path each time - 21.4, 20:00</t>
  </si>
  <si>
    <t>302602875</t>
  </si>
  <si>
    <t>201567286</t>
  </si>
  <si>
    <t>302680665</t>
  </si>
  <si>
    <t>204585095</t>
  </si>
  <si>
    <t>203992458</t>
  </si>
  <si>
    <t>308484807</t>
  </si>
  <si>
    <t>301869665</t>
  </si>
  <si>
    <t>314292590</t>
  </si>
  <si>
    <t>302461876</t>
  </si>
  <si>
    <t>315474197</t>
  </si>
  <si>
    <t>308330141</t>
  </si>
  <si>
    <t>Mishandeled End Moves</t>
  </si>
  <si>
    <t>Game ended in a wrong score
Error parsing "dirty legal moves"
Did not Compile</t>
  </si>
  <si>
    <t>Did not Compile</t>
  </si>
  <si>
    <t>Put all missing students together with regular students</t>
  </si>
  <si>
    <t>unify release&amp;debug cmake</t>
  </si>
  <si>
    <t>Game ended in a wrong score
Extra spaces in game results prints
Players switched roles (A is B, B is A)
Error parsing "dirty legal moves"
Tie Game - didn't print "Points:"</t>
  </si>
  <si>
    <t>Bonus</t>
  </si>
  <si>
    <t>Extra spaces in game results prints
Declared wrong path on an empty folder
Missing students file (student instead)
Used getchar() - where no user input is needed</t>
  </si>
  <si>
    <t>Used getch() - where no user input is needed</t>
  </si>
  <si>
    <t>Mishandeled End Moves
Bad cmake name (.txt.txt) + changed the "don't touch" section
No Students.txt file</t>
  </si>
  <si>
    <t>Submitted precompiled headers (stdafx)</t>
  </si>
  <si>
    <t>Game ended in a wrong score
Broken CMakeLists
Submitted precompiled headers (stdafx)</t>
  </si>
  <si>
    <t>Game ended in a wrong score
Extra line at end of print (4 different places)
Submitted precompiled headers (stdafx)</t>
  </si>
  <si>
    <t>auto stdafx</t>
  </si>
  <si>
    <t>Grade</t>
  </si>
  <si>
    <t>MISSING</t>
  </si>
  <si>
    <t>302870878</t>
  </si>
  <si>
    <t>no grades at all</t>
  </si>
  <si>
    <t>Missing bonus file
Extra line at end of print
Inaccurate error prints - missing boards
Game ended in a wrong score - when moves ended</t>
  </si>
  <si>
    <t>Tamarsardas</t>
  </si>
  <si>
    <t>203628706</t>
  </si>
  <si>
    <t>204097588</t>
  </si>
  <si>
    <t>200921740</t>
  </si>
  <si>
    <t>Submitted late after fix</t>
  </si>
  <si>
    <t>Used getch() - where no user input is needed
Not supported - folder argument &amp; -quietgood ships
Game not functioning - even with files you supplied
Submitted late after fix</t>
  </si>
  <si>
    <t>Tell amir of nadav keren</t>
  </si>
  <si>
    <t>Used getch() - where no user input is needed
Not supported - folder argument &amp; -quietgood ships
Game not functioning - even with files you supplied, tried many scenarios including debug their code.
Submitted late after fix</t>
  </si>
  <si>
    <t>Extra spaces in game results prints
Inaccurate error prints - declared wrong size on good ships
Inaccurate error prints - bad board 2
Inaccurate error prints - bad board 3
Submitted late after fix</t>
  </si>
  <si>
    <t>Error parsing "dirty legal moves"
Games ended in a wrong score - game 2 + tie game
Submitted late after fix</t>
  </si>
  <si>
    <t>Inaccurate prints - both players won
Inaccurate error prints - extra space in missing attack file
Game ended in a wrong score - tie game
Submitted late after fix</t>
  </si>
  <si>
    <t>Extra lines in error prints
Printed extra error messages</t>
  </si>
  <si>
    <t>Extra spaces in game results prints
Extra line at end of print
Inaccurate error prints (attack file b)
Declared a winner in a tie game
Game ended in a wrong score - Mishandled end of moves for player</t>
  </si>
  <si>
    <t>Inaccurate error prints
Extra line at end of print
Game ended in a wrong score
Printed junk numbers as results (checked with your supplied files)</t>
  </si>
  <si>
    <t>Extra line at end of print
Game ended in a wrong score - clean moves
Error parsing "dirty legal moves"</t>
  </si>
  <si>
    <t>Missing bonus file
Too many debug prints - needed to alter the code to test
Inaccurate error prints - "Adjacent ships" lowercase
Inaccurate error prints - Missing attack file</t>
  </si>
  <si>
    <t>Infinite loop - when game is tied
Missing bonus file
Game Inaccurate prints - results</t>
  </si>
  <si>
    <t xml:space="preserve">
Inaccurate error prints
Mishandeled End Moves
Submitted late after fix</t>
  </si>
  <si>
    <t>Inaccurate error prints
Declared a legal board as illegal</t>
  </si>
  <si>
    <t>Remove empty folder tests</t>
  </si>
  <si>
    <t>Better manual scoring system</t>
  </si>
  <si>
    <t>err code</t>
  </si>
  <si>
    <t>X</t>
  </si>
  <si>
    <t>Hi hellp</t>
  </si>
  <si>
    <t>Then again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</si>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</sst>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  <charset val="1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0" applyFont="1" applyFill="1" applyBorder="1" applyAlignment="1" applyProtection="1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1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/>
    <xf numFmtId="49" fontId="6" fillId="0" borderId="0" xfId="0" applyNumberFormat="1" applyFont="1"/>
    <xf numFmtId="0" fontId="3" fillId="0" borderId="0" xfId="0" applyFont="1" applyFill="1" applyBorder="1" applyAlignment="1" applyProtection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Border="1" applyAlignment="1" applyProtection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3" fillId="0" borderId="0" xfId="0" applyFont="1" applyAlignment="1">
      <alignment horizontal="center" readingOrder="1"/>
    </xf>
    <xf numFmtId="0" fontId="1" fillId="0" borderId="0" xfId="0" applyFont="1" applyFill="1"/>
    <xf numFmtId="0" fontId="0" fillId="0" borderId="0" xfId="0" applyFill="1"/>
    <xf numFmtId="0" fontId="1" fillId="0" borderId="0" xfId="0" applyFont="1" applyFill="1" applyBorder="1" applyAlignment="1" applyProtection="1">
      <alignment horizontal="center" wrapText="1"/>
    </xf>
    <xf numFmtId="0" fontId="1" fillId="0" borderId="0" xfId="0" applyFont="1" applyAlignment="1">
      <alignment horizontal="center" wrapText="1"/>
    </xf>
    <xf numFmtId="0" fontId="7" fillId="0" borderId="0" xfId="0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Z146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5" sqref="E5"/>
    </sheetView>
  </sheetViews>
  <sheetFormatPr defaultRowHeight="12.75" x14ac:dyDescent="0.2"/>
  <cols>
    <col min="1" max="1" width="12.140625" bestFit="1" customWidth="1"/>
    <col min="2" max="2" width="10" bestFit="1" customWidth="1"/>
    <col min="3" max="3" width="58" style="20" bestFit="1" customWidth="1"/>
    <col min="4" max="4" width="10.5703125" style="7" bestFit="1" customWidth="1"/>
    <col min="5" max="5" width="9.140625" style="7"/>
    <col min="6" max="6" width="11.7109375" style="3" bestFit="1" customWidth="1"/>
    <col min="7" max="7" width="33.140625" bestFit="1" customWidth="1"/>
    <col min="8" max="8" width="26.7109375" bestFit="1" customWidth="1"/>
    <col min="9" max="9" width="19.28515625" bestFit="1" customWidth="1"/>
    <col min="10" max="10" width="11.42578125" bestFit="1" customWidth="1"/>
    <col min="11" max="11" width="27.5703125" bestFit="1" customWidth="1"/>
    <col min="12" max="12" width="21" bestFit="1" customWidth="1"/>
    <col min="13" max="13" width="30.85546875" bestFit="1" customWidth="1"/>
    <col min="14" max="14" width="24" bestFit="1" customWidth="1"/>
    <col min="15" max="15" width="25.5703125" bestFit="1" customWidth="1"/>
    <col min="16" max="16" width="28" bestFit="1" customWidth="1"/>
    <col min="17" max="17" width="16" bestFit="1" customWidth="1"/>
    <col min="18" max="18" width="17.5703125" bestFit="1" customWidth="1"/>
    <col min="19" max="19" width="14.28515625" bestFit="1" customWidth="1"/>
    <col min="20" max="20" width="39" bestFit="1" customWidth="1"/>
    <col min="21" max="21" width="34.7109375" bestFit="1" customWidth="1"/>
    <col min="22" max="22" width="19.85546875" bestFit="1" customWidth="1"/>
    <col min="23" max="23" width="23.42578125" bestFit="1" customWidth="1"/>
    <col min="24" max="24" width="27.85546875" bestFit="1" customWidth="1"/>
    <col min="25" max="25" width="34.5703125" bestFit="1" customWidth="1"/>
    <col min="34" max="34" width="21.5703125" bestFit="1" customWidth="1"/>
  </cols>
  <sheetData>
    <row r="1" spans="1:52" x14ac:dyDescent="0.2">
      <c r="G1" s="3" t="str">
        <f t="array" ref="G1:AH2">TRANSPOSE(Score!B3:C30)</f>
        <v>Extra spaces in game results prints</v>
      </c>
      <c r="H1" s="3" t="str">
        <v>Extra spaces in errors prints</v>
      </c>
      <c r="I1" s="3" t="str">
        <v>Inaccurate error prints</v>
      </c>
      <c r="J1" s="3" t="str">
        <v>Debug prints</v>
      </c>
      <c r="K1" s="3" t="str">
        <v>Tie Game - didn't print "Points:"</v>
      </c>
      <c r="L1" t="str">
        <v>Extra line at end of print</v>
      </c>
      <c r="M1" t="str">
        <v>Prints "wrong path" error every time</v>
      </c>
      <c r="N1" t="str">
        <v>Did not report a missing file</v>
      </c>
      <c r="O1" t="str">
        <v>Printed extra error messages</v>
      </c>
      <c r="P1" t="str">
        <v>Error parsing "dirty legal moves"</v>
      </c>
      <c r="Q1" t="str">
        <v>Missing bonus file</v>
      </c>
      <c r="R1" t="str">
        <v>Broken CMakeLists</v>
      </c>
      <c r="S1" t="str">
        <v>Did not Compile</v>
      </c>
      <c r="T1" t="str">
        <v>Used getch() - where no user input is needed</v>
      </c>
      <c r="U1" t="str">
        <v>Submitted precompiled headers (stdafx)</v>
      </c>
      <c r="V1" t="str">
        <v>Submitted late after fix</v>
      </c>
      <c r="W1" t="str">
        <v>Tie Game - wrong handling</v>
      </c>
      <c r="X1" t="str">
        <v>Declared a legal board as illegal</v>
      </c>
      <c r="Y1" t="str">
        <v>Declared wrong path on an empty folder</v>
      </c>
      <c r="Z1" t="str">
        <v>Reported missing attack file for the wrong player</v>
      </c>
      <c r="AA1" t="str">
        <v>Game ended in a wrong score</v>
      </c>
      <c r="AB1" t="str">
        <v>Played a game on an illegal board</v>
      </c>
      <c r="AC1" t="str">
        <v>Reporting that the wrong player won in game results</v>
      </c>
      <c r="AD1" t="str">
        <v>Did not print game results at all</v>
      </c>
      <c r="AE1" t="str">
        <v>Tried to load a non existing file</v>
      </c>
      <c r="AF1" t="str">
        <v>Declared a winner in a tie game</v>
      </c>
      <c r="AG1" t="str">
        <v>Infinite loop</v>
      </c>
      <c r="AH1" t="str">
        <v>Mishandeled End Moves</v>
      </c>
    </row>
    <row r="2" spans="1:52" x14ac:dyDescent="0.2">
      <c r="A2" s="14" t="s">
        <v>0</v>
      </c>
      <c r="B2" s="14" t="s">
        <v>1</v>
      </c>
      <c r="C2" s="17" t="s">
        <v>2</v>
      </c>
      <c r="D2" s="14" t="s">
        <v>263</v>
      </c>
      <c r="E2" s="3" t="s">
        <v>255</v>
      </c>
      <c r="F2" s="3" t="s">
        <v>3</v>
      </c>
      <c r="G2" s="2">
        <v>-1</v>
      </c>
      <c r="H2" s="27">
        <v>-1</v>
      </c>
      <c r="I2" s="2">
        <v>-1</v>
      </c>
      <c r="J2" s="27">
        <v>-4</v>
      </c>
      <c r="K2" s="2">
        <v>-1</v>
      </c>
      <c r="L2" s="27">
        <v>-1</v>
      </c>
      <c r="M2" s="2">
        <v>-2</v>
      </c>
      <c r="N2" s="27">
        <v>-2</v>
      </c>
      <c r="O2" s="2">
        <v>-2</v>
      </c>
      <c r="P2" s="27">
        <v>-3</v>
      </c>
      <c r="Q2" s="2">
        <v>-2</v>
      </c>
      <c r="R2" s="27">
        <v>-2</v>
      </c>
      <c r="S2" s="2">
        <v>-10</v>
      </c>
      <c r="T2" s="27">
        <v>-4</v>
      </c>
      <c r="U2" s="2">
        <v>-2</v>
      </c>
      <c r="V2" s="27">
        <v>-7</v>
      </c>
      <c r="W2" s="2">
        <v>-3</v>
      </c>
      <c r="X2" s="27">
        <v>-5</v>
      </c>
      <c r="Y2" s="2">
        <v>-3</v>
      </c>
      <c r="Z2" s="27">
        <v>-3</v>
      </c>
      <c r="AA2" s="2">
        <v>-6</v>
      </c>
      <c r="AB2" s="27">
        <v>-4</v>
      </c>
      <c r="AC2" s="2">
        <v>-3</v>
      </c>
      <c r="AD2" s="27">
        <v>-15</v>
      </c>
      <c r="AE2" s="2">
        <v>-6</v>
      </c>
      <c r="AF2" s="27">
        <v>-3</v>
      </c>
      <c r="AG2" s="2">
        <v>-10</v>
      </c>
      <c r="AH2" s="27">
        <v>-4</v>
      </c>
      <c r="AI2" s="2"/>
      <c r="AJ2" s="27"/>
      <c r="AK2" s="2"/>
      <c r="AL2" s="27"/>
      <c r="AM2" s="2"/>
      <c r="AN2" s="27"/>
      <c r="AO2" s="2"/>
      <c r="AP2" s="27"/>
      <c r="AQ2" s="2"/>
      <c r="AR2" s="27"/>
      <c r="AS2" s="2"/>
      <c r="AT2" s="27"/>
      <c r="AU2" s="2"/>
      <c r="AV2" s="27"/>
      <c r="AW2" s="2"/>
      <c r="AX2" s="27"/>
      <c r="AY2" s="2"/>
      <c r="AZ2" s="27"/>
    </row>
    <row r="3" spans="1:52" x14ac:dyDescent="0.2">
      <c r="A3" s="1" t="s">
        <v>4</v>
      </c>
      <c r="B3" s="1" t="s">
        <v>5</v>
      </c>
      <c r="C3" s="22" t="s">
        <v>157</v>
      </c>
      <c r="D3" s="8">
        <v>97</v>
      </c>
      <c r="E3" s="7">
        <v>5</v>
      </c>
      <c r="F3" s="3">
        <f>D3+E3</f>
        <v>102</v>
      </c>
      <c r="G3" s="27" t="s">
        <v>290</v>
      </c>
    </row>
    <row r="4" spans="1:52" x14ac:dyDescent="0.2">
      <c r="B4" s="1" t="s">
        <v>6</v>
      </c>
      <c r="C4" s="22"/>
      <c r="F4" s="3">
        <f>IF(D4="",F3,D4+E4)</f>
        <v>102</v>
      </c>
      <c r="G4" s="27"/>
    </row>
    <row r="5" spans="1:52" x14ac:dyDescent="0.2">
      <c r="B5" s="1" t="s">
        <v>7</v>
      </c>
      <c r="C5" s="22"/>
      <c r="F5" s="3">
        <f>IF(D5="",F4,D5+E5)</f>
        <v>102</v>
      </c>
      <c r="G5" s="27"/>
    </row>
    <row r="6" spans="1:52" x14ac:dyDescent="0.2">
      <c r="A6" s="1" t="s">
        <v>8</v>
      </c>
      <c r="B6" s="1" t="s">
        <v>10</v>
      </c>
      <c r="C6" s="21" t="s">
        <v>227</v>
      </c>
      <c r="D6" s="8">
        <v>98</v>
      </c>
      <c r="F6" s="3">
        <f>IF(D6="",F5,D6+E6)</f>
        <v>98</v>
      </c>
      <c r="G6" s="27"/>
    </row>
    <row r="7" spans="1:52" x14ac:dyDescent="0.2">
      <c r="B7" s="1" t="s">
        <v>11</v>
      </c>
      <c r="C7" s="25"/>
      <c r="F7" s="3">
        <f t="shared" ref="F7:F70" si="0">IF(D7="",F6,D7+E7)</f>
        <v>98</v>
      </c>
      <c r="G7" s="1"/>
    </row>
    <row r="8" spans="1:52" x14ac:dyDescent="0.2">
      <c r="B8" s="1" t="s">
        <v>12</v>
      </c>
      <c r="C8" s="25"/>
      <c r="F8" s="3">
        <f t="shared" si="0"/>
        <v>98</v>
      </c>
      <c r="G8" s="1"/>
    </row>
    <row r="9" spans="1:52" x14ac:dyDescent="0.2">
      <c r="A9" s="1" t="s">
        <v>13</v>
      </c>
      <c r="B9" s="1" t="s">
        <v>14</v>
      </c>
      <c r="C9" s="22" t="s">
        <v>161</v>
      </c>
      <c r="D9" s="8">
        <v>93</v>
      </c>
      <c r="E9" s="6"/>
      <c r="F9" s="3">
        <f t="shared" si="0"/>
        <v>93</v>
      </c>
      <c r="G9" s="1"/>
    </row>
    <row r="10" spans="1:52" x14ac:dyDescent="0.2">
      <c r="B10" s="1" t="s">
        <v>15</v>
      </c>
      <c r="C10" s="22"/>
      <c r="F10" s="3">
        <f t="shared" si="0"/>
        <v>93</v>
      </c>
    </row>
    <row r="11" spans="1:52" x14ac:dyDescent="0.2">
      <c r="B11" s="1" t="s">
        <v>16</v>
      </c>
      <c r="C11" s="22"/>
      <c r="F11" s="3">
        <f t="shared" si="0"/>
        <v>93</v>
      </c>
    </row>
    <row r="12" spans="1:52" ht="38.25" customHeight="1" x14ac:dyDescent="0.2">
      <c r="A12" s="1" t="s">
        <v>17</v>
      </c>
      <c r="B12" s="1" t="s">
        <v>18</v>
      </c>
      <c r="C12" s="21" t="s">
        <v>286</v>
      </c>
      <c r="D12" s="8">
        <v>94</v>
      </c>
      <c r="E12" s="7">
        <v>5</v>
      </c>
      <c r="F12" s="3">
        <f t="shared" si="0"/>
        <v>99</v>
      </c>
    </row>
    <row r="13" spans="1:52" x14ac:dyDescent="0.2">
      <c r="B13" s="1" t="s">
        <v>19</v>
      </c>
      <c r="C13" s="21"/>
      <c r="F13" s="3">
        <f t="shared" si="0"/>
        <v>99</v>
      </c>
    </row>
    <row r="14" spans="1:52" ht="25.5" customHeight="1" x14ac:dyDescent="0.2">
      <c r="A14" s="1" t="s">
        <v>20</v>
      </c>
      <c r="B14" s="1" t="s">
        <v>21</v>
      </c>
      <c r="C14" s="21" t="s">
        <v>165</v>
      </c>
      <c r="D14" s="8">
        <v>93</v>
      </c>
      <c r="F14" s="3">
        <f t="shared" si="0"/>
        <v>93</v>
      </c>
    </row>
    <row r="15" spans="1:52" x14ac:dyDescent="0.2">
      <c r="B15" s="1" t="s">
        <v>22</v>
      </c>
      <c r="C15" s="21"/>
      <c r="F15" s="3">
        <f t="shared" si="0"/>
        <v>93</v>
      </c>
    </row>
    <row r="16" spans="1:52" x14ac:dyDescent="0.2">
      <c r="B16" s="1" t="s">
        <v>23</v>
      </c>
      <c r="C16" s="21"/>
      <c r="F16" s="3">
        <f t="shared" si="0"/>
        <v>93</v>
      </c>
    </row>
    <row r="17" spans="1:6" x14ac:dyDescent="0.2">
      <c r="A17" s="1" t="s">
        <v>24</v>
      </c>
      <c r="B17" s="1" t="s">
        <v>25</v>
      </c>
      <c r="C17" s="21" t="s">
        <v>230</v>
      </c>
      <c r="D17" s="8">
        <v>93</v>
      </c>
      <c r="E17" s="6">
        <v>5</v>
      </c>
      <c r="F17" s="3">
        <f t="shared" si="0"/>
        <v>98</v>
      </c>
    </row>
    <row r="18" spans="1:6" x14ac:dyDescent="0.2">
      <c r="B18" s="1" t="s">
        <v>26</v>
      </c>
      <c r="C18" s="21"/>
      <c r="F18" s="3">
        <f t="shared" si="0"/>
        <v>98</v>
      </c>
    </row>
    <row r="19" spans="1:6" ht="29.25" customHeight="1" x14ac:dyDescent="0.2">
      <c r="B19" s="1" t="s">
        <v>27</v>
      </c>
      <c r="C19" s="21"/>
      <c r="F19" s="3">
        <f t="shared" si="0"/>
        <v>98</v>
      </c>
    </row>
    <row r="20" spans="1:6" ht="12.75" customHeight="1" x14ac:dyDescent="0.2">
      <c r="A20" s="1" t="s">
        <v>28</v>
      </c>
      <c r="B20" s="1" t="s">
        <v>29</v>
      </c>
      <c r="C20" s="25"/>
      <c r="D20" s="8">
        <v>100</v>
      </c>
      <c r="E20" s="7">
        <v>5</v>
      </c>
      <c r="F20" s="3">
        <f t="shared" si="0"/>
        <v>105</v>
      </c>
    </row>
    <row r="21" spans="1:6" x14ac:dyDescent="0.2">
      <c r="B21" s="1" t="s">
        <v>30</v>
      </c>
      <c r="C21" s="25"/>
      <c r="F21" s="3">
        <f t="shared" si="0"/>
        <v>105</v>
      </c>
    </row>
    <row r="22" spans="1:6" x14ac:dyDescent="0.2">
      <c r="A22" s="1" t="s">
        <v>31</v>
      </c>
      <c r="B22" s="1" t="s">
        <v>32</v>
      </c>
      <c r="C22" s="21" t="s">
        <v>168</v>
      </c>
      <c r="D22" s="8">
        <v>90</v>
      </c>
      <c r="F22" s="3">
        <f t="shared" si="0"/>
        <v>90</v>
      </c>
    </row>
    <row r="23" spans="1:6" x14ac:dyDescent="0.2">
      <c r="B23" s="1" t="s">
        <v>33</v>
      </c>
      <c r="C23" s="21"/>
      <c r="F23" s="3">
        <f t="shared" si="0"/>
        <v>90</v>
      </c>
    </row>
    <row r="24" spans="1:6" x14ac:dyDescent="0.2">
      <c r="B24" s="1" t="s">
        <v>34</v>
      </c>
      <c r="C24" s="21"/>
      <c r="F24" s="3">
        <f t="shared" si="0"/>
        <v>90</v>
      </c>
    </row>
    <row r="25" spans="1:6" x14ac:dyDescent="0.2">
      <c r="A25" s="1" t="s">
        <v>35</v>
      </c>
      <c r="B25" s="1" t="s">
        <v>36</v>
      </c>
      <c r="C25" s="21" t="s">
        <v>199</v>
      </c>
      <c r="D25" s="8">
        <v>76</v>
      </c>
      <c r="F25" s="3">
        <f t="shared" si="0"/>
        <v>76</v>
      </c>
    </row>
    <row r="26" spans="1:6" x14ac:dyDescent="0.2">
      <c r="B26" s="1" t="s">
        <v>37</v>
      </c>
      <c r="C26" s="21"/>
      <c r="F26" s="3">
        <f t="shared" si="0"/>
        <v>76</v>
      </c>
    </row>
    <row r="27" spans="1:6" ht="72" customHeight="1" x14ac:dyDescent="0.2">
      <c r="B27" s="1" t="s">
        <v>38</v>
      </c>
      <c r="C27" s="21"/>
      <c r="F27" s="3">
        <f t="shared" si="0"/>
        <v>76</v>
      </c>
    </row>
    <row r="28" spans="1:6" x14ac:dyDescent="0.2">
      <c r="A28" s="1" t="s">
        <v>39</v>
      </c>
      <c r="B28" s="1" t="s">
        <v>40</v>
      </c>
      <c r="C28" s="25"/>
      <c r="D28" s="8">
        <v>100</v>
      </c>
      <c r="E28" s="7">
        <v>5</v>
      </c>
      <c r="F28" s="3">
        <f t="shared" si="0"/>
        <v>105</v>
      </c>
    </row>
    <row r="29" spans="1:6" x14ac:dyDescent="0.2">
      <c r="B29" s="1" t="s">
        <v>41</v>
      </c>
      <c r="C29" s="25"/>
      <c r="F29" s="3">
        <f t="shared" si="0"/>
        <v>105</v>
      </c>
    </row>
    <row r="30" spans="1:6" x14ac:dyDescent="0.2">
      <c r="B30" s="1" t="s">
        <v>42</v>
      </c>
      <c r="C30" s="25"/>
      <c r="F30" s="3">
        <f t="shared" si="0"/>
        <v>105</v>
      </c>
    </row>
    <row r="31" spans="1:6" ht="35.25" customHeight="1" x14ac:dyDescent="0.2">
      <c r="A31" s="1" t="s">
        <v>43</v>
      </c>
      <c r="B31" s="1">
        <v>200902377</v>
      </c>
      <c r="C31" s="21" t="s">
        <v>228</v>
      </c>
      <c r="D31" s="7">
        <v>80</v>
      </c>
      <c r="F31" s="3">
        <f t="shared" si="0"/>
        <v>80</v>
      </c>
    </row>
    <row r="32" spans="1:6" x14ac:dyDescent="0.2">
      <c r="A32" s="1"/>
      <c r="B32" s="1">
        <v>201390085</v>
      </c>
      <c r="C32" s="21"/>
      <c r="F32" s="3">
        <f t="shared" si="0"/>
        <v>80</v>
      </c>
    </row>
    <row r="33" spans="1:7" ht="25.5" customHeight="1" x14ac:dyDescent="0.2">
      <c r="A33" s="1" t="s">
        <v>44</v>
      </c>
      <c r="B33" s="1" t="s">
        <v>45</v>
      </c>
      <c r="C33" s="21" t="s">
        <v>186</v>
      </c>
      <c r="D33" s="8">
        <v>100</v>
      </c>
      <c r="E33" s="7">
        <v>5</v>
      </c>
      <c r="F33" s="3">
        <f t="shared" si="0"/>
        <v>105</v>
      </c>
    </row>
    <row r="34" spans="1:7" x14ac:dyDescent="0.2">
      <c r="B34" s="1" t="s">
        <v>46</v>
      </c>
      <c r="C34" s="21"/>
      <c r="F34" s="3">
        <f t="shared" si="0"/>
        <v>105</v>
      </c>
    </row>
    <row r="35" spans="1:7" x14ac:dyDescent="0.2">
      <c r="A35" s="1" t="s">
        <v>50</v>
      </c>
      <c r="B35" s="1" t="s">
        <v>51</v>
      </c>
      <c r="C35" s="25"/>
      <c r="D35" s="8" t="s">
        <v>9</v>
      </c>
      <c r="F35" s="3">
        <f t="shared" si="0"/>
        <v>100</v>
      </c>
    </row>
    <row r="36" spans="1:7" x14ac:dyDescent="0.2">
      <c r="B36" s="1" t="s">
        <v>52</v>
      </c>
      <c r="C36" s="25"/>
      <c r="F36" s="3">
        <f t="shared" si="0"/>
        <v>100</v>
      </c>
    </row>
    <row r="37" spans="1:7" x14ac:dyDescent="0.2">
      <c r="B37" s="1" t="s">
        <v>53</v>
      </c>
      <c r="C37" s="25"/>
      <c r="F37" s="3">
        <f t="shared" si="0"/>
        <v>100</v>
      </c>
    </row>
    <row r="38" spans="1:7" x14ac:dyDescent="0.2">
      <c r="A38" s="1" t="s">
        <v>54</v>
      </c>
      <c r="B38" s="1" t="s">
        <v>55</v>
      </c>
      <c r="C38" s="25"/>
      <c r="D38" s="8" t="s">
        <v>9</v>
      </c>
      <c r="F38" s="3">
        <f t="shared" si="0"/>
        <v>100</v>
      </c>
    </row>
    <row r="39" spans="1:7" x14ac:dyDescent="0.2">
      <c r="B39" s="1" t="s">
        <v>56</v>
      </c>
      <c r="C39" s="25"/>
      <c r="F39" s="3">
        <f t="shared" si="0"/>
        <v>100</v>
      </c>
    </row>
    <row r="40" spans="1:7" x14ac:dyDescent="0.2">
      <c r="B40" s="1" t="s">
        <v>57</v>
      </c>
      <c r="C40" s="25"/>
      <c r="F40" s="3">
        <f t="shared" si="0"/>
        <v>100</v>
      </c>
    </row>
    <row r="41" spans="1:7" x14ac:dyDescent="0.2">
      <c r="A41" s="1" t="s">
        <v>61</v>
      </c>
      <c r="B41" s="1" t="s">
        <v>62</v>
      </c>
      <c r="C41" s="25"/>
      <c r="D41" s="8" t="s">
        <v>9</v>
      </c>
      <c r="F41" s="3">
        <f t="shared" si="0"/>
        <v>100</v>
      </c>
    </row>
    <row r="42" spans="1:7" x14ac:dyDescent="0.2">
      <c r="B42" s="1" t="s">
        <v>63</v>
      </c>
      <c r="C42" s="25"/>
      <c r="F42" s="3">
        <f t="shared" si="0"/>
        <v>100</v>
      </c>
    </row>
    <row r="43" spans="1:7" x14ac:dyDescent="0.2">
      <c r="B43" s="1" t="s">
        <v>64</v>
      </c>
      <c r="C43" s="25"/>
      <c r="F43" s="3">
        <f t="shared" si="0"/>
        <v>100</v>
      </c>
    </row>
    <row r="44" spans="1:7" x14ac:dyDescent="0.2">
      <c r="A44" s="11" t="s">
        <v>69</v>
      </c>
      <c r="B44" s="1" t="s">
        <v>70</v>
      </c>
      <c r="C44" s="21" t="s">
        <v>260</v>
      </c>
      <c r="D44" s="8">
        <v>90</v>
      </c>
      <c r="F44" s="3">
        <f t="shared" si="0"/>
        <v>90</v>
      </c>
    </row>
    <row r="45" spans="1:7" x14ac:dyDescent="0.2">
      <c r="B45" s="1" t="s">
        <v>71</v>
      </c>
      <c r="C45" s="21"/>
      <c r="F45" s="3">
        <f t="shared" si="0"/>
        <v>90</v>
      </c>
    </row>
    <row r="46" spans="1:7" x14ac:dyDescent="0.2">
      <c r="B46" s="1" t="s">
        <v>72</v>
      </c>
      <c r="C46" s="21"/>
      <c r="F46" s="3">
        <f t="shared" si="0"/>
        <v>90</v>
      </c>
    </row>
    <row r="47" spans="1:7" x14ac:dyDescent="0.2">
      <c r="A47" s="1" t="s">
        <v>73</v>
      </c>
      <c r="B47" s="1" t="s">
        <v>74</v>
      </c>
      <c r="C47" s="21" t="s">
        <v>193</v>
      </c>
      <c r="D47" s="8">
        <v>86</v>
      </c>
      <c r="E47" s="7">
        <v>5</v>
      </c>
      <c r="F47" s="3">
        <f t="shared" si="0"/>
        <v>91</v>
      </c>
      <c r="G47" s="1"/>
    </row>
    <row r="48" spans="1:7" x14ac:dyDescent="0.2">
      <c r="B48" s="1" t="s">
        <v>75</v>
      </c>
      <c r="C48" s="21"/>
      <c r="F48" s="3">
        <f t="shared" si="0"/>
        <v>91</v>
      </c>
      <c r="G48" s="1"/>
    </row>
    <row r="49" spans="1:7" ht="19.5" customHeight="1" x14ac:dyDescent="0.2">
      <c r="B49" s="1" t="s">
        <v>76</v>
      </c>
      <c r="C49" s="21"/>
      <c r="F49" s="3">
        <f t="shared" si="0"/>
        <v>91</v>
      </c>
      <c r="G49" s="1"/>
    </row>
    <row r="50" spans="1:7" ht="25.5" customHeight="1" x14ac:dyDescent="0.2">
      <c r="A50" s="1" t="s">
        <v>77</v>
      </c>
      <c r="B50" s="1" t="s">
        <v>78</v>
      </c>
      <c r="C50" s="21" t="s">
        <v>261</v>
      </c>
      <c r="D50" s="8">
        <v>88</v>
      </c>
      <c r="F50" s="3">
        <f t="shared" si="0"/>
        <v>88</v>
      </c>
      <c r="G50" s="1"/>
    </row>
    <row r="51" spans="1:7" ht="21.75" customHeight="1" x14ac:dyDescent="0.2">
      <c r="B51" s="1" t="s">
        <v>79</v>
      </c>
      <c r="C51" s="21"/>
      <c r="F51" s="3">
        <f t="shared" si="0"/>
        <v>88</v>
      </c>
      <c r="G51" s="1"/>
    </row>
    <row r="52" spans="1:7" x14ac:dyDescent="0.2">
      <c r="A52" s="1" t="s">
        <v>80</v>
      </c>
      <c r="B52" s="1" t="s">
        <v>81</v>
      </c>
      <c r="C52" s="19"/>
      <c r="D52" s="8">
        <v>100</v>
      </c>
      <c r="F52" s="3">
        <f t="shared" si="0"/>
        <v>100</v>
      </c>
      <c r="G52" s="1"/>
    </row>
    <row r="53" spans="1:7" x14ac:dyDescent="0.2">
      <c r="A53" s="1" t="s">
        <v>82</v>
      </c>
      <c r="B53" s="1" t="s">
        <v>83</v>
      </c>
      <c r="C53" s="22" t="s">
        <v>162</v>
      </c>
      <c r="D53" s="8">
        <v>98</v>
      </c>
      <c r="E53" s="7">
        <v>5</v>
      </c>
      <c r="F53" s="3">
        <f t="shared" si="0"/>
        <v>103</v>
      </c>
      <c r="G53" s="1"/>
    </row>
    <row r="54" spans="1:7" x14ac:dyDescent="0.2">
      <c r="B54" s="1" t="s">
        <v>84</v>
      </c>
      <c r="C54" s="22"/>
      <c r="F54" s="3">
        <f t="shared" si="0"/>
        <v>103</v>
      </c>
      <c r="G54" s="1"/>
    </row>
    <row r="55" spans="1:7" x14ac:dyDescent="0.2">
      <c r="B55" s="1" t="s">
        <v>85</v>
      </c>
      <c r="C55" s="22"/>
      <c r="F55" s="3">
        <f t="shared" si="0"/>
        <v>103</v>
      </c>
      <c r="G55" s="1"/>
    </row>
    <row r="56" spans="1:7" x14ac:dyDescent="0.2">
      <c r="A56" s="1" t="s">
        <v>86</v>
      </c>
      <c r="B56" s="1" t="s">
        <v>87</v>
      </c>
      <c r="C56" s="25"/>
      <c r="D56" s="8">
        <v>100</v>
      </c>
      <c r="E56" s="7">
        <v>5</v>
      </c>
      <c r="F56" s="3">
        <f t="shared" si="0"/>
        <v>105</v>
      </c>
      <c r="G56" s="11"/>
    </row>
    <row r="57" spans="1:7" x14ac:dyDescent="0.2">
      <c r="B57" s="1" t="s">
        <v>88</v>
      </c>
      <c r="C57" s="25"/>
      <c r="F57" s="3">
        <f t="shared" si="0"/>
        <v>105</v>
      </c>
      <c r="G57" s="11"/>
    </row>
    <row r="58" spans="1:7" ht="25.5" customHeight="1" x14ac:dyDescent="0.2">
      <c r="A58" s="1" t="s">
        <v>89</v>
      </c>
      <c r="B58" s="1" t="s">
        <v>90</v>
      </c>
      <c r="C58" s="21" t="s">
        <v>279</v>
      </c>
      <c r="D58" s="8">
        <v>97</v>
      </c>
      <c r="F58" s="3">
        <f t="shared" si="0"/>
        <v>97</v>
      </c>
      <c r="G58" s="11"/>
    </row>
    <row r="59" spans="1:7" x14ac:dyDescent="0.2">
      <c r="B59" s="1" t="s">
        <v>91</v>
      </c>
      <c r="C59" s="21"/>
      <c r="F59" s="3">
        <f t="shared" si="0"/>
        <v>97</v>
      </c>
      <c r="G59" s="11"/>
    </row>
    <row r="60" spans="1:7" x14ac:dyDescent="0.2">
      <c r="B60" s="1" t="s">
        <v>92</v>
      </c>
      <c r="C60" s="21"/>
      <c r="F60" s="3">
        <f t="shared" si="0"/>
        <v>97</v>
      </c>
      <c r="G60" s="11"/>
    </row>
    <row r="61" spans="1:7" x14ac:dyDescent="0.2">
      <c r="A61" s="1" t="s">
        <v>93</v>
      </c>
      <c r="B61" s="1" t="s">
        <v>94</v>
      </c>
      <c r="C61" s="25"/>
      <c r="D61" s="8" t="s">
        <v>9</v>
      </c>
      <c r="F61" s="3">
        <f t="shared" si="0"/>
        <v>100</v>
      </c>
      <c r="G61" s="2"/>
    </row>
    <row r="62" spans="1:7" x14ac:dyDescent="0.2">
      <c r="B62" s="1" t="s">
        <v>95</v>
      </c>
      <c r="C62" s="25"/>
      <c r="F62" s="3">
        <f t="shared" si="0"/>
        <v>100</v>
      </c>
      <c r="G62" s="2"/>
    </row>
    <row r="63" spans="1:7" x14ac:dyDescent="0.2">
      <c r="B63" s="1" t="s">
        <v>96</v>
      </c>
      <c r="C63" s="25"/>
      <c r="F63" s="3">
        <f t="shared" si="0"/>
        <v>100</v>
      </c>
    </row>
    <row r="64" spans="1:7" x14ac:dyDescent="0.2">
      <c r="A64" s="1" t="s">
        <v>97</v>
      </c>
      <c r="B64" s="1" t="s">
        <v>98</v>
      </c>
      <c r="C64" s="21" t="s">
        <v>176</v>
      </c>
      <c r="D64" s="8">
        <v>98</v>
      </c>
      <c r="E64" s="7">
        <v>5</v>
      </c>
      <c r="F64" s="3">
        <f t="shared" si="0"/>
        <v>103</v>
      </c>
    </row>
    <row r="65" spans="1:6" x14ac:dyDescent="0.2">
      <c r="B65" s="1" t="s">
        <v>99</v>
      </c>
      <c r="C65" s="25"/>
      <c r="F65" s="3">
        <f t="shared" si="0"/>
        <v>103</v>
      </c>
    </row>
    <row r="66" spans="1:6" x14ac:dyDescent="0.2">
      <c r="A66" s="1" t="s">
        <v>100</v>
      </c>
      <c r="B66" s="1" t="s">
        <v>101</v>
      </c>
      <c r="C66" s="21" t="s">
        <v>227</v>
      </c>
      <c r="D66" s="8">
        <v>98</v>
      </c>
      <c r="E66" s="7">
        <v>5</v>
      </c>
      <c r="F66" s="3">
        <f t="shared" si="0"/>
        <v>103</v>
      </c>
    </row>
    <row r="67" spans="1:6" x14ac:dyDescent="0.2">
      <c r="B67" s="1" t="s">
        <v>102</v>
      </c>
      <c r="C67" s="21"/>
      <c r="F67" s="3">
        <f t="shared" si="0"/>
        <v>103</v>
      </c>
    </row>
    <row r="68" spans="1:6" x14ac:dyDescent="0.2">
      <c r="A68" s="1" t="s">
        <v>103</v>
      </c>
      <c r="B68" s="1" t="s">
        <v>104</v>
      </c>
      <c r="C68" s="19"/>
      <c r="D68" s="8">
        <v>100</v>
      </c>
      <c r="F68" s="3">
        <f t="shared" si="0"/>
        <v>100</v>
      </c>
    </row>
    <row r="69" spans="1:6" x14ac:dyDescent="0.2">
      <c r="B69" s="1" t="s">
        <v>105</v>
      </c>
      <c r="F69" s="3">
        <f t="shared" si="0"/>
        <v>100</v>
      </c>
    </row>
    <row r="70" spans="1:6" ht="51" customHeight="1" x14ac:dyDescent="0.2">
      <c r="A70" s="1" t="s">
        <v>106</v>
      </c>
      <c r="B70" s="1" t="s">
        <v>107</v>
      </c>
      <c r="C70" s="21" t="s">
        <v>195</v>
      </c>
      <c r="D70" s="8">
        <v>90</v>
      </c>
      <c r="F70" s="3">
        <f t="shared" si="0"/>
        <v>90</v>
      </c>
    </row>
    <row r="71" spans="1:6" x14ac:dyDescent="0.2">
      <c r="B71" s="1" t="s">
        <v>108</v>
      </c>
      <c r="C71" s="21"/>
      <c r="F71" s="3">
        <f t="shared" ref="F71:F117" si="1">IF(D71="",F70,D71+E71)</f>
        <v>90</v>
      </c>
    </row>
    <row r="72" spans="1:6" x14ac:dyDescent="0.2">
      <c r="B72" s="1" t="s">
        <v>109</v>
      </c>
      <c r="C72" s="21"/>
      <c r="F72" s="3">
        <f t="shared" si="1"/>
        <v>90</v>
      </c>
    </row>
    <row r="73" spans="1:6" ht="57" customHeight="1" x14ac:dyDescent="0.2">
      <c r="A73" s="1" t="s">
        <v>117</v>
      </c>
      <c r="B73" s="1" t="s">
        <v>118</v>
      </c>
      <c r="C73" s="21" t="s">
        <v>280</v>
      </c>
      <c r="D73" s="8">
        <v>88</v>
      </c>
      <c r="F73" s="3">
        <f t="shared" si="1"/>
        <v>88</v>
      </c>
    </row>
    <row r="74" spans="1:6" x14ac:dyDescent="0.2">
      <c r="B74" s="1" t="s">
        <v>119</v>
      </c>
      <c r="C74" s="21"/>
      <c r="F74" s="3">
        <f t="shared" si="1"/>
        <v>88</v>
      </c>
    </row>
    <row r="75" spans="1:6" x14ac:dyDescent="0.2">
      <c r="B75" s="1" t="s">
        <v>120</v>
      </c>
      <c r="C75" s="21"/>
      <c r="F75" s="3">
        <f t="shared" si="1"/>
        <v>88</v>
      </c>
    </row>
    <row r="76" spans="1:6" x14ac:dyDescent="0.2">
      <c r="A76" s="1" t="s">
        <v>121</v>
      </c>
      <c r="B76" s="1" t="s">
        <v>122</v>
      </c>
      <c r="C76" s="21" t="s">
        <v>197</v>
      </c>
      <c r="D76" s="8" t="s">
        <v>9</v>
      </c>
      <c r="F76" s="3">
        <f t="shared" si="1"/>
        <v>100</v>
      </c>
    </row>
    <row r="77" spans="1:6" x14ac:dyDescent="0.2">
      <c r="B77" s="1" t="s">
        <v>123</v>
      </c>
      <c r="C77" s="21"/>
      <c r="F77" s="3">
        <f t="shared" si="1"/>
        <v>100</v>
      </c>
    </row>
    <row r="78" spans="1:6" x14ac:dyDescent="0.2">
      <c r="A78" s="1" t="s">
        <v>124</v>
      </c>
      <c r="B78" s="1" t="s">
        <v>125</v>
      </c>
      <c r="C78" s="21" t="s">
        <v>231</v>
      </c>
      <c r="D78" s="8">
        <v>92</v>
      </c>
      <c r="F78" s="3">
        <f t="shared" si="1"/>
        <v>92</v>
      </c>
    </row>
    <row r="79" spans="1:6" x14ac:dyDescent="0.2">
      <c r="B79" s="1" t="s">
        <v>126</v>
      </c>
      <c r="C79" s="21"/>
      <c r="F79" s="3">
        <f t="shared" si="1"/>
        <v>92</v>
      </c>
    </row>
    <row r="80" spans="1:6" x14ac:dyDescent="0.2">
      <c r="B80" s="1" t="s">
        <v>127</v>
      </c>
      <c r="C80" s="21"/>
      <c r="F80" s="3">
        <f t="shared" si="1"/>
        <v>92</v>
      </c>
    </row>
    <row r="81" spans="1:6" x14ac:dyDescent="0.2">
      <c r="A81" s="1" t="s">
        <v>128</v>
      </c>
      <c r="B81" s="1" t="s">
        <v>129</v>
      </c>
      <c r="C81" s="25"/>
      <c r="D81" s="8">
        <v>100</v>
      </c>
      <c r="F81" s="3">
        <f t="shared" si="1"/>
        <v>100</v>
      </c>
    </row>
    <row r="82" spans="1:6" x14ac:dyDescent="0.2">
      <c r="B82" s="1" t="s">
        <v>130</v>
      </c>
      <c r="C82" s="25"/>
      <c r="F82" s="3">
        <f t="shared" si="1"/>
        <v>100</v>
      </c>
    </row>
    <row r="83" spans="1:6" ht="38.25" customHeight="1" x14ac:dyDescent="0.2">
      <c r="A83" s="1" t="s">
        <v>131</v>
      </c>
      <c r="B83" s="1" t="s">
        <v>132</v>
      </c>
      <c r="C83" s="21" t="s">
        <v>281</v>
      </c>
      <c r="D83" s="8">
        <v>82</v>
      </c>
      <c r="E83" s="7">
        <v>5</v>
      </c>
      <c r="F83" s="3">
        <f t="shared" si="1"/>
        <v>87</v>
      </c>
    </row>
    <row r="84" spans="1:6" x14ac:dyDescent="0.2">
      <c r="B84" s="1" t="s">
        <v>133</v>
      </c>
      <c r="C84" s="21"/>
      <c r="F84" s="3">
        <f t="shared" si="1"/>
        <v>87</v>
      </c>
    </row>
    <row r="85" spans="1:6" x14ac:dyDescent="0.2">
      <c r="B85" s="1" t="s">
        <v>134</v>
      </c>
      <c r="C85" s="21"/>
      <c r="F85" s="3">
        <f t="shared" si="1"/>
        <v>87</v>
      </c>
    </row>
    <row r="86" spans="1:6" ht="51" customHeight="1" x14ac:dyDescent="0.2">
      <c r="A86" s="1" t="s">
        <v>135</v>
      </c>
      <c r="B86" s="1" t="s">
        <v>136</v>
      </c>
      <c r="C86" s="21" t="s">
        <v>282</v>
      </c>
      <c r="D86" s="8">
        <v>90</v>
      </c>
      <c r="F86" s="3">
        <f t="shared" si="1"/>
        <v>90</v>
      </c>
    </row>
    <row r="87" spans="1:6" x14ac:dyDescent="0.2">
      <c r="B87" s="1" t="s">
        <v>137</v>
      </c>
      <c r="C87" s="21"/>
      <c r="F87" s="3">
        <f t="shared" si="1"/>
        <v>90</v>
      </c>
    </row>
    <row r="88" spans="1:6" ht="36" customHeight="1" x14ac:dyDescent="0.2">
      <c r="A88" s="11" t="s">
        <v>151</v>
      </c>
      <c r="B88" s="11" t="s">
        <v>204</v>
      </c>
      <c r="C88" s="21" t="s">
        <v>267</v>
      </c>
      <c r="D88" s="13">
        <v>90</v>
      </c>
      <c r="E88" s="7">
        <v>5</v>
      </c>
      <c r="F88" s="3">
        <f t="shared" si="1"/>
        <v>95</v>
      </c>
    </row>
    <row r="89" spans="1:6" x14ac:dyDescent="0.2">
      <c r="B89" s="11" t="s">
        <v>203</v>
      </c>
      <c r="C89" s="21"/>
      <c r="F89" s="3">
        <f t="shared" si="1"/>
        <v>95</v>
      </c>
    </row>
    <row r="90" spans="1:6" x14ac:dyDescent="0.2">
      <c r="B90" s="11" t="s">
        <v>202</v>
      </c>
      <c r="C90" s="21"/>
      <c r="F90" s="3">
        <f t="shared" si="1"/>
        <v>95</v>
      </c>
    </row>
    <row r="91" spans="1:6" ht="27.75" customHeight="1" x14ac:dyDescent="0.2">
      <c r="A91" s="11" t="s">
        <v>175</v>
      </c>
      <c r="B91" s="11" t="s">
        <v>205</v>
      </c>
      <c r="C91" s="21" t="s">
        <v>229</v>
      </c>
      <c r="D91" s="13">
        <v>92</v>
      </c>
      <c r="E91" s="7">
        <v>5</v>
      </c>
      <c r="F91" s="3">
        <f t="shared" si="1"/>
        <v>97</v>
      </c>
    </row>
    <row r="92" spans="1:6" x14ac:dyDescent="0.2">
      <c r="B92" s="11" t="s">
        <v>206</v>
      </c>
      <c r="C92" s="21"/>
      <c r="F92" s="3">
        <f t="shared" si="1"/>
        <v>97</v>
      </c>
    </row>
    <row r="93" spans="1:6" x14ac:dyDescent="0.2">
      <c r="B93" s="11" t="s">
        <v>207</v>
      </c>
      <c r="C93" s="21"/>
      <c r="F93" s="3">
        <f t="shared" si="1"/>
        <v>97</v>
      </c>
    </row>
    <row r="94" spans="1:6" x14ac:dyDescent="0.2">
      <c r="A94" s="11" t="s">
        <v>142</v>
      </c>
      <c r="B94" s="11" t="s">
        <v>208</v>
      </c>
      <c r="C94" s="21" t="s">
        <v>221</v>
      </c>
      <c r="D94" s="13">
        <v>90</v>
      </c>
      <c r="F94" s="3">
        <f t="shared" si="1"/>
        <v>90</v>
      </c>
    </row>
    <row r="95" spans="1:6" x14ac:dyDescent="0.2">
      <c r="B95" s="11" t="s">
        <v>209</v>
      </c>
      <c r="C95" s="24"/>
      <c r="F95" s="3">
        <f t="shared" si="1"/>
        <v>90</v>
      </c>
    </row>
    <row r="96" spans="1:6" x14ac:dyDescent="0.2">
      <c r="A96" s="11" t="s">
        <v>140</v>
      </c>
      <c r="B96" s="11" t="s">
        <v>210</v>
      </c>
      <c r="C96" s="22" t="s">
        <v>283</v>
      </c>
      <c r="D96" s="7">
        <v>84</v>
      </c>
      <c r="E96" s="7">
        <v>5</v>
      </c>
      <c r="F96" s="3">
        <f t="shared" si="1"/>
        <v>89</v>
      </c>
    </row>
    <row r="97" spans="1:6" x14ac:dyDescent="0.2">
      <c r="B97" s="11" t="s">
        <v>211</v>
      </c>
      <c r="C97" s="22"/>
      <c r="F97" s="3">
        <f t="shared" si="1"/>
        <v>89</v>
      </c>
    </row>
    <row r="98" spans="1:6" ht="62.25" customHeight="1" x14ac:dyDescent="0.2">
      <c r="B98" s="11" t="s">
        <v>212</v>
      </c>
      <c r="C98" s="22"/>
      <c r="F98" s="3">
        <f t="shared" si="1"/>
        <v>89</v>
      </c>
    </row>
    <row r="99" spans="1:6" ht="38.25" customHeight="1" x14ac:dyDescent="0.2">
      <c r="A99" s="11" t="s">
        <v>145</v>
      </c>
      <c r="B99" s="11" t="s">
        <v>213</v>
      </c>
      <c r="C99" s="21" t="s">
        <v>219</v>
      </c>
      <c r="D99" s="13">
        <v>89</v>
      </c>
      <c r="E99" s="7">
        <v>5</v>
      </c>
      <c r="F99" s="3">
        <f t="shared" si="1"/>
        <v>94</v>
      </c>
    </row>
    <row r="100" spans="1:6" x14ac:dyDescent="0.2">
      <c r="B100" s="11" t="s">
        <v>214</v>
      </c>
      <c r="C100" s="21"/>
      <c r="F100" s="3">
        <f t="shared" si="1"/>
        <v>94</v>
      </c>
    </row>
    <row r="101" spans="1:6" x14ac:dyDescent="0.2">
      <c r="B101" s="11" t="s">
        <v>215</v>
      </c>
      <c r="C101" s="21"/>
      <c r="F101" s="3">
        <f t="shared" si="1"/>
        <v>94</v>
      </c>
    </row>
    <row r="102" spans="1:6" x14ac:dyDescent="0.2">
      <c r="A102" s="11" t="s">
        <v>146</v>
      </c>
      <c r="B102" s="11" t="s">
        <v>216</v>
      </c>
      <c r="C102" s="21" t="s">
        <v>220</v>
      </c>
      <c r="D102" s="13">
        <v>97</v>
      </c>
      <c r="E102" s="7">
        <v>5</v>
      </c>
      <c r="F102" s="3">
        <f t="shared" si="1"/>
        <v>102</v>
      </c>
    </row>
    <row r="103" spans="1:6" x14ac:dyDescent="0.2">
      <c r="B103" s="11" t="s">
        <v>217</v>
      </c>
      <c r="C103" s="21"/>
      <c r="F103" s="3">
        <f t="shared" si="1"/>
        <v>102</v>
      </c>
    </row>
    <row r="104" spans="1:6" x14ac:dyDescent="0.2">
      <c r="B104" s="11" t="s">
        <v>218</v>
      </c>
      <c r="C104" s="21"/>
      <c r="F104" s="3">
        <f t="shared" si="1"/>
        <v>102</v>
      </c>
    </row>
    <row r="105" spans="1:6" ht="46.5" customHeight="1" x14ac:dyDescent="0.2">
      <c r="A105" t="s">
        <v>139</v>
      </c>
      <c r="B105">
        <v>203569264</v>
      </c>
      <c r="C105" s="22" t="s">
        <v>226</v>
      </c>
      <c r="D105" s="7">
        <v>79</v>
      </c>
      <c r="E105" s="7">
        <v>5</v>
      </c>
      <c r="F105" s="3">
        <f t="shared" si="1"/>
        <v>84</v>
      </c>
    </row>
    <row r="106" spans="1:6" x14ac:dyDescent="0.2">
      <c r="B106">
        <v>203521638</v>
      </c>
      <c r="C106" s="22"/>
      <c r="F106" s="3">
        <f t="shared" si="1"/>
        <v>84</v>
      </c>
    </row>
    <row r="107" spans="1:6" x14ac:dyDescent="0.2">
      <c r="B107">
        <v>201082708</v>
      </c>
      <c r="C107" s="22"/>
      <c r="F107" s="3">
        <f t="shared" si="1"/>
        <v>84</v>
      </c>
    </row>
    <row r="108" spans="1:6" x14ac:dyDescent="0.2">
      <c r="A108" s="11" t="s">
        <v>143</v>
      </c>
      <c r="B108" s="11">
        <v>305462939</v>
      </c>
      <c r="C108" s="23"/>
      <c r="D108" s="6">
        <v>100</v>
      </c>
      <c r="F108" s="3">
        <f>IF(D108="",#REF!,D108+E108)</f>
        <v>100</v>
      </c>
    </row>
    <row r="109" spans="1:6" x14ac:dyDescent="0.2">
      <c r="A109" s="2" t="s">
        <v>148</v>
      </c>
      <c r="B109" s="11">
        <v>303091003</v>
      </c>
      <c r="C109" s="23"/>
      <c r="D109" s="7">
        <v>100</v>
      </c>
      <c r="F109" s="3">
        <f t="shared" si="1"/>
        <v>100</v>
      </c>
    </row>
    <row r="110" spans="1:6" x14ac:dyDescent="0.2">
      <c r="A110" s="2" t="s">
        <v>138</v>
      </c>
      <c r="B110">
        <v>203945498</v>
      </c>
      <c r="C110" s="22" t="s">
        <v>273</v>
      </c>
      <c r="D110" s="7">
        <v>60</v>
      </c>
      <c r="E110" s="7">
        <v>5</v>
      </c>
      <c r="F110" s="3">
        <f>IF(D110="",F139,D110+E110)</f>
        <v>65</v>
      </c>
    </row>
    <row r="111" spans="1:6" ht="39" customHeight="1" x14ac:dyDescent="0.2">
      <c r="B111">
        <v>201437795</v>
      </c>
      <c r="C111" s="22"/>
      <c r="F111" s="3">
        <f t="shared" si="1"/>
        <v>65</v>
      </c>
    </row>
    <row r="112" spans="1:6" ht="38.25" customHeight="1" x14ac:dyDescent="0.2">
      <c r="A112" s="11" t="s">
        <v>147</v>
      </c>
      <c r="B112" s="11" t="s">
        <v>238</v>
      </c>
      <c r="C112" s="21" t="s">
        <v>284</v>
      </c>
      <c r="D112" s="7">
        <v>87</v>
      </c>
      <c r="E112" s="7">
        <v>5</v>
      </c>
      <c r="F112" s="3">
        <f t="shared" si="1"/>
        <v>92</v>
      </c>
    </row>
    <row r="113" spans="1:6" x14ac:dyDescent="0.2">
      <c r="B113" s="11" t="s">
        <v>239</v>
      </c>
      <c r="C113" s="21"/>
      <c r="F113" s="3">
        <f t="shared" si="1"/>
        <v>92</v>
      </c>
    </row>
    <row r="114" spans="1:6" x14ac:dyDescent="0.2">
      <c r="B114" s="11" t="s">
        <v>240</v>
      </c>
      <c r="C114" s="21"/>
      <c r="F114" s="3">
        <f t="shared" si="1"/>
        <v>92</v>
      </c>
    </row>
    <row r="115" spans="1:6" ht="51" customHeight="1" x14ac:dyDescent="0.2">
      <c r="A115" s="11" t="s">
        <v>153</v>
      </c>
      <c r="B115" s="11" t="s">
        <v>243</v>
      </c>
      <c r="C115" s="21" t="s">
        <v>256</v>
      </c>
      <c r="D115" s="7">
        <v>89</v>
      </c>
      <c r="F115" s="3">
        <f t="shared" si="1"/>
        <v>89</v>
      </c>
    </row>
    <row r="116" spans="1:6" x14ac:dyDescent="0.2">
      <c r="B116" s="11" t="s">
        <v>244</v>
      </c>
      <c r="C116" s="21"/>
      <c r="F116" s="3">
        <f t="shared" si="1"/>
        <v>89</v>
      </c>
    </row>
    <row r="117" spans="1:6" x14ac:dyDescent="0.2">
      <c r="B117" s="11" t="s">
        <v>245</v>
      </c>
      <c r="C117" s="21"/>
      <c r="F117" s="3">
        <f t="shared" si="1"/>
        <v>89</v>
      </c>
    </row>
    <row r="118" spans="1:6" ht="38.25" x14ac:dyDescent="0.2">
      <c r="A118" s="11" t="s">
        <v>47</v>
      </c>
      <c r="B118" s="11" t="s">
        <v>49</v>
      </c>
      <c r="C118" s="19" t="s">
        <v>250</v>
      </c>
      <c r="D118" s="7">
        <v>81</v>
      </c>
      <c r="F118" s="3">
        <f t="shared" ref="F118:F133" si="2">IF(D118="",F117,D118+E118)</f>
        <v>81</v>
      </c>
    </row>
    <row r="119" spans="1:6" ht="38.25" customHeight="1" x14ac:dyDescent="0.2">
      <c r="A119" s="11" t="s">
        <v>150</v>
      </c>
      <c r="B119" s="11" t="s">
        <v>246</v>
      </c>
      <c r="C119" s="21" t="s">
        <v>258</v>
      </c>
      <c r="D119" s="7">
        <v>89</v>
      </c>
      <c r="F119" s="3">
        <f t="shared" si="2"/>
        <v>89</v>
      </c>
    </row>
    <row r="120" spans="1:6" x14ac:dyDescent="0.2">
      <c r="B120" s="11" t="s">
        <v>247</v>
      </c>
      <c r="C120" s="21"/>
      <c r="F120" s="3">
        <f t="shared" si="2"/>
        <v>89</v>
      </c>
    </row>
    <row r="121" spans="1:6" ht="63.75" customHeight="1" x14ac:dyDescent="0.2">
      <c r="A121" s="11" t="s">
        <v>144</v>
      </c>
      <c r="B121" s="11" t="s">
        <v>248</v>
      </c>
      <c r="C121" s="21" t="s">
        <v>254</v>
      </c>
      <c r="F121" s="3">
        <f t="shared" si="2"/>
        <v>89</v>
      </c>
    </row>
    <row r="122" spans="1:6" x14ac:dyDescent="0.2">
      <c r="B122" s="11" t="s">
        <v>241</v>
      </c>
      <c r="C122" s="21"/>
      <c r="F122" s="3">
        <f t="shared" si="2"/>
        <v>89</v>
      </c>
    </row>
    <row r="123" spans="1:6" ht="38.25" customHeight="1" x14ac:dyDescent="0.2">
      <c r="A123" s="11" t="s">
        <v>65</v>
      </c>
      <c r="B123" s="11" t="s">
        <v>66</v>
      </c>
      <c r="C123" s="29" t="s">
        <v>278</v>
      </c>
      <c r="D123" s="7">
        <v>85</v>
      </c>
      <c r="F123" s="3">
        <f>IF(D123="",F135,D123+E123)</f>
        <v>85</v>
      </c>
    </row>
    <row r="124" spans="1:6" x14ac:dyDescent="0.2">
      <c r="B124" s="11" t="s">
        <v>67</v>
      </c>
      <c r="C124" s="29"/>
      <c r="F124" s="3">
        <f t="shared" si="2"/>
        <v>85</v>
      </c>
    </row>
    <row r="125" spans="1:6" x14ac:dyDescent="0.2">
      <c r="B125" s="11" t="s">
        <v>68</v>
      </c>
      <c r="C125" s="29"/>
      <c r="F125" s="3">
        <f t="shared" si="2"/>
        <v>85</v>
      </c>
    </row>
    <row r="126" spans="1:6" ht="25.5" customHeight="1" x14ac:dyDescent="0.2">
      <c r="A126" s="11" t="s">
        <v>110</v>
      </c>
      <c r="B126" s="11" t="s">
        <v>111</v>
      </c>
      <c r="C126" s="29" t="s">
        <v>277</v>
      </c>
      <c r="D126" s="7">
        <v>84</v>
      </c>
      <c r="F126" s="3">
        <f t="shared" si="2"/>
        <v>84</v>
      </c>
    </row>
    <row r="127" spans="1:6" x14ac:dyDescent="0.2">
      <c r="B127" s="11" t="s">
        <v>112</v>
      </c>
      <c r="C127" s="29"/>
      <c r="F127" s="3">
        <f t="shared" si="2"/>
        <v>84</v>
      </c>
    </row>
    <row r="128" spans="1:6" ht="21" customHeight="1" x14ac:dyDescent="0.2">
      <c r="A128" s="11" t="s">
        <v>113</v>
      </c>
      <c r="B128" s="11" t="s">
        <v>114</v>
      </c>
      <c r="C128" s="29" t="s">
        <v>285</v>
      </c>
      <c r="D128" s="7">
        <v>87</v>
      </c>
      <c r="F128" s="3">
        <f t="shared" si="2"/>
        <v>87</v>
      </c>
    </row>
    <row r="129" spans="1:6" x14ac:dyDescent="0.2">
      <c r="B129" s="11" t="s">
        <v>115</v>
      </c>
      <c r="C129" s="29"/>
      <c r="F129" s="3">
        <f t="shared" si="2"/>
        <v>87</v>
      </c>
    </row>
    <row r="130" spans="1:6" ht="21" customHeight="1" x14ac:dyDescent="0.2">
      <c r="B130" s="11" t="s">
        <v>116</v>
      </c>
      <c r="C130" s="29"/>
      <c r="F130" s="3">
        <f t="shared" si="2"/>
        <v>87</v>
      </c>
    </row>
    <row r="131" spans="1:6" ht="51" customHeight="1" x14ac:dyDescent="0.2">
      <c r="A131" s="11" t="s">
        <v>268</v>
      </c>
      <c r="B131" s="11" t="s">
        <v>269</v>
      </c>
      <c r="C131" s="29" t="s">
        <v>276</v>
      </c>
      <c r="D131" s="7">
        <v>88</v>
      </c>
      <c r="F131" s="3">
        <f t="shared" si="2"/>
        <v>88</v>
      </c>
    </row>
    <row r="132" spans="1:6" x14ac:dyDescent="0.2">
      <c r="B132" s="11" t="s">
        <v>270</v>
      </c>
      <c r="C132" s="29"/>
      <c r="F132" s="3">
        <f t="shared" si="2"/>
        <v>88</v>
      </c>
    </row>
    <row r="133" spans="1:6" x14ac:dyDescent="0.2">
      <c r="B133" s="11" t="s">
        <v>271</v>
      </c>
      <c r="C133" s="29"/>
      <c r="F133" s="3">
        <f t="shared" si="2"/>
        <v>88</v>
      </c>
    </row>
    <row r="134" spans="1:6" x14ac:dyDescent="0.2">
      <c r="A134" s="11" t="s">
        <v>141</v>
      </c>
      <c r="B134" s="16" t="s">
        <v>242</v>
      </c>
      <c r="C134" s="17" t="s">
        <v>264</v>
      </c>
      <c r="D134" s="7">
        <v>0</v>
      </c>
      <c r="F134" s="3">
        <f>IF(D134="",#REF!,D134+E134)</f>
        <v>0</v>
      </c>
    </row>
    <row r="135" spans="1:6" x14ac:dyDescent="0.2">
      <c r="A135" s="1" t="s">
        <v>149</v>
      </c>
      <c r="B135" s="16" t="s">
        <v>265</v>
      </c>
      <c r="C135" s="17" t="s">
        <v>264</v>
      </c>
      <c r="D135" s="7">
        <v>0</v>
      </c>
      <c r="F135" s="3">
        <f>IF(D135="",F134,D135+E135)</f>
        <v>0</v>
      </c>
    </row>
    <row r="136" spans="1:6" x14ac:dyDescent="0.2">
      <c r="A136" s="1" t="s">
        <v>58</v>
      </c>
      <c r="B136" s="1" t="s">
        <v>59</v>
      </c>
      <c r="C136" s="24" t="s">
        <v>48</v>
      </c>
      <c r="D136" s="8">
        <v>0</v>
      </c>
      <c r="F136" s="3">
        <f>IF(D136="",#REF!,D136+E136)</f>
        <v>0</v>
      </c>
    </row>
    <row r="137" spans="1:6" x14ac:dyDescent="0.2">
      <c r="B137" s="1" t="s">
        <v>60</v>
      </c>
      <c r="C137" s="24"/>
      <c r="F137" s="3">
        <f>IF(D137="",F136,D137+E137)</f>
        <v>0</v>
      </c>
    </row>
    <row r="138" spans="1:6" x14ac:dyDescent="0.2">
      <c r="A138" s="2" t="s">
        <v>152</v>
      </c>
      <c r="B138" s="7">
        <v>203776216</v>
      </c>
      <c r="C138" s="22" t="s">
        <v>272</v>
      </c>
      <c r="D138" s="7">
        <v>93</v>
      </c>
      <c r="E138" s="7">
        <v>5</v>
      </c>
      <c r="F138" s="3">
        <f>IF(D138="",#REF!,D138+E138)</f>
        <v>98</v>
      </c>
    </row>
    <row r="139" spans="1:6" x14ac:dyDescent="0.2">
      <c r="A139" s="2"/>
      <c r="B139" s="7">
        <v>306221748</v>
      </c>
      <c r="C139" s="22"/>
      <c r="F139" s="3">
        <f>IF(D139="",F138,D139+E139)</f>
        <v>98</v>
      </c>
    </row>
    <row r="140" spans="1:6" x14ac:dyDescent="0.2">
      <c r="C140" s="18"/>
    </row>
    <row r="142" spans="1:6" x14ac:dyDescent="0.2">
      <c r="A142" s="1"/>
      <c r="B142" s="16"/>
      <c r="C142" s="18"/>
    </row>
    <row r="143" spans="1:6" x14ac:dyDescent="0.2">
      <c r="A143" s="11"/>
    </row>
    <row r="145" spans="1:22" x14ac:dyDescent="0.2">
      <c r="D145" s="7">
        <f>100 + SUMIF(G145:CC145,"&lt;&gt;",G2:CC2)</f>
        <v>88</v>
      </c>
      <c r="G145" s="2" t="s">
        <v>293</v>
      </c>
      <c r="H145" s="2" t="s">
        <v>291</v>
      </c>
      <c r="I145" s="2" t="s">
        <v>293</v>
      </c>
      <c r="K145" s="2" t="s">
        <v>292</v>
      </c>
      <c r="L145" s="2" t="s">
        <v>293</v>
      </c>
      <c r="V145" s="2" t="s">
        <v>293</v>
      </c>
    </row>
    <row r="146" spans="1:22" x14ac:dyDescent="0.2">
      <c r="A146" s="2"/>
      <c r="C146" s="18"/>
    </row>
  </sheetData>
  <mergeCells count="50">
    <mergeCell ref="C123:C125"/>
    <mergeCell ref="C131:C133"/>
    <mergeCell ref="C128:C130"/>
    <mergeCell ref="C126:C127"/>
    <mergeCell ref="C3:C5"/>
    <mergeCell ref="C6:C8"/>
    <mergeCell ref="C9:C11"/>
    <mergeCell ref="C12:C13"/>
    <mergeCell ref="C14:C16"/>
    <mergeCell ref="C17:C19"/>
    <mergeCell ref="C20:C21"/>
    <mergeCell ref="C22:C24"/>
    <mergeCell ref="C25:C27"/>
    <mergeCell ref="C28:C30"/>
    <mergeCell ref="C31:C32"/>
    <mergeCell ref="C33:C34"/>
    <mergeCell ref="C35:C37"/>
    <mergeCell ref="C38:C40"/>
    <mergeCell ref="C136:C137"/>
    <mergeCell ref="C41:C43"/>
    <mergeCell ref="C47:C49"/>
    <mergeCell ref="C44:C46"/>
    <mergeCell ref="C50:C51"/>
    <mergeCell ref="C53:C55"/>
    <mergeCell ref="C56:C57"/>
    <mergeCell ref="C58:C60"/>
    <mergeCell ref="C61:C63"/>
    <mergeCell ref="C64:C65"/>
    <mergeCell ref="C66:C67"/>
    <mergeCell ref="C70:C72"/>
    <mergeCell ref="C73:C75"/>
    <mergeCell ref="C83:C85"/>
    <mergeCell ref="C81:C82"/>
    <mergeCell ref="C76:C77"/>
    <mergeCell ref="C78:C80"/>
    <mergeCell ref="C86:C87"/>
    <mergeCell ref="C108:C109"/>
    <mergeCell ref="C102:C104"/>
    <mergeCell ref="C99:C101"/>
    <mergeCell ref="C96:C98"/>
    <mergeCell ref="C94:C95"/>
    <mergeCell ref="C91:C93"/>
    <mergeCell ref="C88:C90"/>
    <mergeCell ref="C119:C120"/>
    <mergeCell ref="C121:C122"/>
    <mergeCell ref="C115:C117"/>
    <mergeCell ref="C105:C107"/>
    <mergeCell ref="C112:C114"/>
    <mergeCell ref="C110:C111"/>
    <mergeCell ref="C138:C139"/>
  </mergeCells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0"/>
  <sheetViews>
    <sheetView zoomScale="85" zoomScaleNormal="85" workbookViewId="0">
      <selection activeCell="B3" sqref="B3:C30"/>
    </sheetView>
  </sheetViews>
  <sheetFormatPr defaultRowHeight="12.75" x14ac:dyDescent="0.2"/>
  <cols>
    <col min="2" max="2" width="33.7109375" customWidth="1"/>
    <col min="3" max="3" width="7.5703125" customWidth="1"/>
    <col min="5" max="5" width="31.140625" bestFit="1" customWidth="1"/>
    <col min="6" max="6" width="24.85546875" bestFit="1" customWidth="1"/>
    <col min="7" max="7" width="19.5703125" bestFit="1" customWidth="1"/>
    <col min="8" max="8" width="11.42578125" bestFit="1" customWidth="1"/>
    <col min="9" max="9" width="24.85546875" bestFit="1" customWidth="1"/>
  </cols>
  <sheetData>
    <row r="1" spans="1:9" x14ac:dyDescent="0.2">
      <c r="B1" s="26" t="s">
        <v>154</v>
      </c>
      <c r="C1" s="26"/>
    </row>
    <row r="2" spans="1:9" x14ac:dyDescent="0.2">
      <c r="A2" s="2" t="s">
        <v>289</v>
      </c>
      <c r="B2" s="4" t="s">
        <v>155</v>
      </c>
      <c r="C2" s="4" t="s">
        <v>156</v>
      </c>
    </row>
    <row r="3" spans="1:9" x14ac:dyDescent="0.2">
      <c r="A3">
        <v>1</v>
      </c>
      <c r="B3" s="2" t="s">
        <v>159</v>
      </c>
      <c r="C3">
        <v>-1</v>
      </c>
      <c r="D3" s="2"/>
      <c r="E3" s="2" t="str">
        <f>B3</f>
        <v>Extra spaces in game results prints</v>
      </c>
      <c r="F3" t="str">
        <f>B4</f>
        <v>Extra spaces in errors prints</v>
      </c>
      <c r="G3" s="27" t="s">
        <v>162</v>
      </c>
      <c r="H3" s="27" t="s">
        <v>163</v>
      </c>
      <c r="I3" s="2"/>
    </row>
    <row r="4" spans="1:9" x14ac:dyDescent="0.2">
      <c r="A4">
        <v>2</v>
      </c>
      <c r="B4" s="27" t="s">
        <v>160</v>
      </c>
      <c r="C4" s="28">
        <v>-1</v>
      </c>
      <c r="D4" s="31"/>
      <c r="E4" s="5"/>
      <c r="F4" s="32"/>
    </row>
    <row r="5" spans="1:9" x14ac:dyDescent="0.2">
      <c r="A5">
        <v>3</v>
      </c>
      <c r="B5" s="27" t="s">
        <v>162</v>
      </c>
      <c r="C5" s="28">
        <v>-1</v>
      </c>
      <c r="E5" s="5"/>
      <c r="F5" s="32"/>
    </row>
    <row r="6" spans="1:9" x14ac:dyDescent="0.2">
      <c r="A6">
        <v>4</v>
      </c>
      <c r="B6" s="27" t="s">
        <v>163</v>
      </c>
      <c r="C6" s="28">
        <v>-4</v>
      </c>
    </row>
    <row r="7" spans="1:9" x14ac:dyDescent="0.2">
      <c r="A7">
        <v>5</v>
      </c>
      <c r="B7" s="27" t="s">
        <v>170</v>
      </c>
      <c r="C7" s="28">
        <v>-1</v>
      </c>
    </row>
    <row r="8" spans="1:9" x14ac:dyDescent="0.2">
      <c r="A8">
        <v>6</v>
      </c>
      <c r="B8" s="27" t="s">
        <v>185</v>
      </c>
      <c r="C8" s="28">
        <v>-1</v>
      </c>
    </row>
    <row r="9" spans="1:9" x14ac:dyDescent="0.2">
      <c r="A9">
        <v>7</v>
      </c>
      <c r="B9" s="27" t="s">
        <v>187</v>
      </c>
      <c r="C9" s="28">
        <v>-2</v>
      </c>
      <c r="H9" s="5"/>
    </row>
    <row r="10" spans="1:9" x14ac:dyDescent="0.2">
      <c r="A10">
        <v>8</v>
      </c>
      <c r="B10" s="2" t="s">
        <v>192</v>
      </c>
      <c r="C10">
        <v>-2</v>
      </c>
      <c r="H10" s="2"/>
    </row>
    <row r="11" spans="1:9" x14ac:dyDescent="0.2">
      <c r="A11">
        <v>9</v>
      </c>
      <c r="B11" s="2" t="s">
        <v>194</v>
      </c>
      <c r="C11">
        <v>-2</v>
      </c>
      <c r="H11" s="2"/>
    </row>
    <row r="12" spans="1:9" x14ac:dyDescent="0.2">
      <c r="A12">
        <v>10</v>
      </c>
      <c r="B12" s="2" t="s">
        <v>200</v>
      </c>
      <c r="C12">
        <v>-3</v>
      </c>
      <c r="H12" s="2"/>
    </row>
    <row r="13" spans="1:9" x14ac:dyDescent="0.2">
      <c r="A13">
        <v>11</v>
      </c>
      <c r="B13" s="2" t="s">
        <v>201</v>
      </c>
      <c r="C13">
        <v>-2</v>
      </c>
      <c r="H13" s="2"/>
    </row>
    <row r="14" spans="1:9" x14ac:dyDescent="0.2">
      <c r="A14">
        <v>12</v>
      </c>
      <c r="B14" s="2" t="s">
        <v>227</v>
      </c>
      <c r="C14">
        <v>-2</v>
      </c>
      <c r="H14" s="2"/>
    </row>
    <row r="15" spans="1:9" x14ac:dyDescent="0.2">
      <c r="A15">
        <v>13</v>
      </c>
      <c r="B15" t="s">
        <v>251</v>
      </c>
      <c r="C15">
        <v>-10</v>
      </c>
      <c r="H15" s="2"/>
    </row>
    <row r="16" spans="1:9" x14ac:dyDescent="0.2">
      <c r="A16">
        <v>14</v>
      </c>
      <c r="B16" s="2" t="s">
        <v>257</v>
      </c>
      <c r="C16">
        <v>-4</v>
      </c>
      <c r="H16" s="2"/>
    </row>
    <row r="17" spans="1:3" x14ac:dyDescent="0.2">
      <c r="A17">
        <v>15</v>
      </c>
      <c r="B17" s="2" t="s">
        <v>259</v>
      </c>
      <c r="C17">
        <v>-2</v>
      </c>
    </row>
    <row r="18" spans="1:3" x14ac:dyDescent="0.2">
      <c r="A18">
        <v>16</v>
      </c>
      <c r="B18" s="2" t="s">
        <v>272</v>
      </c>
      <c r="C18">
        <v>-7</v>
      </c>
    </row>
    <row r="19" spans="1:3" x14ac:dyDescent="0.2">
      <c r="A19">
        <v>17</v>
      </c>
      <c r="B19" s="2" t="s">
        <v>157</v>
      </c>
      <c r="C19">
        <v>-3</v>
      </c>
    </row>
    <row r="20" spans="1:3" x14ac:dyDescent="0.2">
      <c r="A20">
        <v>18</v>
      </c>
      <c r="B20" s="27" t="s">
        <v>158</v>
      </c>
      <c r="C20" s="28">
        <v>-5</v>
      </c>
    </row>
    <row r="21" spans="1:3" x14ac:dyDescent="0.2">
      <c r="A21">
        <v>19</v>
      </c>
      <c r="B21" s="27" t="s">
        <v>166</v>
      </c>
      <c r="C21" s="28">
        <v>-3</v>
      </c>
    </row>
    <row r="22" spans="1:3" x14ac:dyDescent="0.2">
      <c r="A22">
        <v>20</v>
      </c>
      <c r="B22" s="27" t="s">
        <v>164</v>
      </c>
      <c r="C22" s="28">
        <v>-3</v>
      </c>
    </row>
    <row r="23" spans="1:3" x14ac:dyDescent="0.2">
      <c r="A23">
        <v>21</v>
      </c>
      <c r="B23" s="27" t="s">
        <v>167</v>
      </c>
      <c r="C23" s="28">
        <v>-6</v>
      </c>
    </row>
    <row r="24" spans="1:3" x14ac:dyDescent="0.2">
      <c r="A24">
        <v>22</v>
      </c>
      <c r="B24" s="27" t="s">
        <v>169</v>
      </c>
      <c r="C24" s="28">
        <v>-4</v>
      </c>
    </row>
    <row r="25" spans="1:3" x14ac:dyDescent="0.2">
      <c r="A25">
        <v>23</v>
      </c>
      <c r="B25" s="27" t="s">
        <v>198</v>
      </c>
      <c r="C25" s="28">
        <v>-3</v>
      </c>
    </row>
    <row r="26" spans="1:3" x14ac:dyDescent="0.2">
      <c r="A26">
        <v>24</v>
      </c>
      <c r="B26" s="2" t="s">
        <v>171</v>
      </c>
      <c r="C26">
        <v>-15</v>
      </c>
    </row>
    <row r="27" spans="1:3" x14ac:dyDescent="0.2">
      <c r="A27">
        <v>25</v>
      </c>
      <c r="B27" s="2" t="s">
        <v>191</v>
      </c>
      <c r="C27">
        <v>-6</v>
      </c>
    </row>
    <row r="28" spans="1:3" x14ac:dyDescent="0.2">
      <c r="A28">
        <v>26</v>
      </c>
      <c r="B28" s="2" t="s">
        <v>196</v>
      </c>
      <c r="C28">
        <v>-3</v>
      </c>
    </row>
    <row r="29" spans="1:3" x14ac:dyDescent="0.2">
      <c r="A29">
        <v>27</v>
      </c>
      <c r="B29" s="2" t="s">
        <v>222</v>
      </c>
      <c r="C29">
        <v>-10</v>
      </c>
    </row>
    <row r="30" spans="1:3" x14ac:dyDescent="0.2">
      <c r="A30">
        <v>28</v>
      </c>
      <c r="B30" s="2" t="s">
        <v>249</v>
      </c>
      <c r="C30">
        <v>-4</v>
      </c>
    </row>
  </sheetData>
  <mergeCells count="1">
    <mergeCell ref="B1:C1"/>
  </mergeCells>
  <dataValidations count="2">
    <dataValidation type="list" allowBlank="1" showInputMessage="1" showErrorMessage="1" sqref="E6:E30">
      <formula1>ERRORS</formula1>
    </dataValidation>
    <dataValidation type="list" allowBlank="1" showInputMessage="1" showErrorMessage="1" sqref="E4:E5">
      <formula1>ERRORS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2"/>
  <sheetViews>
    <sheetView workbookViewId="0">
      <selection activeCell="A33" sqref="A33"/>
    </sheetView>
  </sheetViews>
  <sheetFormatPr defaultRowHeight="12.75" x14ac:dyDescent="0.2"/>
  <cols>
    <col min="1" max="1" width="64.28515625" customWidth="1"/>
    <col min="2" max="2" width="21" customWidth="1"/>
    <col min="3" max="3" width="45.28515625" bestFit="1" customWidth="1"/>
    <col min="4" max="4" width="17.5703125" bestFit="1" customWidth="1"/>
    <col min="5" max="5" width="8.42578125" bestFit="1" customWidth="1"/>
    <col min="6" max="6" width="7.140625" bestFit="1" customWidth="1"/>
    <col min="7" max="7" width="56.28515625" bestFit="1" customWidth="1"/>
    <col min="8" max="8" width="15.140625" bestFit="1" customWidth="1"/>
    <col min="9" max="9" width="80.42578125" bestFit="1" customWidth="1"/>
    <col min="10" max="10" width="4.85546875" bestFit="1" customWidth="1"/>
    <col min="11" max="11" width="18.28515625" bestFit="1" customWidth="1"/>
  </cols>
  <sheetData>
    <row r="1" spans="1:19" s="9" customFormat="1" ht="15" x14ac:dyDescent="0.25">
      <c r="A1" s="9" t="s">
        <v>0</v>
      </c>
      <c r="B1" s="9" t="s">
        <v>172</v>
      </c>
      <c r="C1" s="9" t="s">
        <v>173</v>
      </c>
      <c r="D1" s="9" t="s">
        <v>174</v>
      </c>
      <c r="E1" s="9" t="s">
        <v>173</v>
      </c>
    </row>
    <row r="2" spans="1:19" ht="15" customHeight="1" x14ac:dyDescent="0.2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1:19" ht="15" customHeight="1" x14ac:dyDescent="0.2">
      <c r="A3" s="15" t="s">
        <v>233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</row>
    <row r="4" spans="1:19" x14ac:dyDescent="0.2">
      <c r="A4" s="12"/>
      <c r="B4" s="7"/>
      <c r="C4" s="6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x14ac:dyDescent="0.2"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2">
      <c r="A6" s="4" t="s">
        <v>113</v>
      </c>
      <c r="B6" s="7"/>
      <c r="C6" s="6" t="s">
        <v>236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 x14ac:dyDescent="0.2">
      <c r="A7" s="12" t="s">
        <v>65</v>
      </c>
      <c r="B7" s="7"/>
      <c r="C7" s="6" t="s">
        <v>237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1:19" x14ac:dyDescent="0.2">
      <c r="A8" s="4" t="s">
        <v>47</v>
      </c>
      <c r="B8" s="7"/>
      <c r="C8" s="6" t="s">
        <v>235</v>
      </c>
      <c r="D8" s="6" t="s">
        <v>225</v>
      </c>
      <c r="E8" s="6" t="s">
        <v>177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2">
      <c r="A9" s="4" t="s">
        <v>110</v>
      </c>
      <c r="B9" s="7"/>
      <c r="C9" s="6" t="s">
        <v>234</v>
      </c>
      <c r="D9" s="6" t="s">
        <v>225</v>
      </c>
      <c r="E9" s="6" t="s">
        <v>178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x14ac:dyDescent="0.2">
      <c r="A10" s="12" t="s">
        <v>223</v>
      </c>
      <c r="B10" s="7"/>
      <c r="C10" s="11" t="s">
        <v>224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2">
      <c r="A11" s="12" t="s">
        <v>138</v>
      </c>
      <c r="B11" s="7"/>
      <c r="C11" s="6" t="s">
        <v>232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</row>
    <row r="12" spans="1:19" x14ac:dyDescent="0.2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</row>
    <row r="13" spans="1:19" x14ac:dyDescent="0.2">
      <c r="A13" s="11"/>
      <c r="B13" s="7"/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ht="15" x14ac:dyDescent="0.25">
      <c r="A14" s="10" t="s">
        <v>179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ht="63.75" x14ac:dyDescent="0.2">
      <c r="A15" s="2" t="s">
        <v>274</v>
      </c>
      <c r="B15" s="7"/>
      <c r="C15" s="30" t="s">
        <v>275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2">
      <c r="A16" s="2" t="s">
        <v>287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ht="15" x14ac:dyDescent="0.25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ht="15" x14ac:dyDescent="0.25">
      <c r="A18" s="10" t="s">
        <v>180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2">
      <c r="A19" s="2" t="s">
        <v>158</v>
      </c>
      <c r="B19" s="7" t="s">
        <v>181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2">
      <c r="A20" s="2" t="s">
        <v>188</v>
      </c>
      <c r="B20" s="6" t="s">
        <v>189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2">
      <c r="A21" s="2" t="s">
        <v>166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2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ht="15" x14ac:dyDescent="0.25">
      <c r="A24" s="10" t="s">
        <v>183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2">
      <c r="A25" t="s">
        <v>182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2">
      <c r="A26" s="2" t="s">
        <v>184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  <row r="27" spans="1:19" x14ac:dyDescent="0.2">
      <c r="A27" s="2" t="s">
        <v>190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</row>
    <row r="28" spans="1:19" x14ac:dyDescent="0.2">
      <c r="A28" s="2" t="s">
        <v>252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</row>
    <row r="29" spans="1:19" x14ac:dyDescent="0.2">
      <c r="A29" s="2" t="s">
        <v>253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</row>
    <row r="30" spans="1:19" x14ac:dyDescent="0.2">
      <c r="A30" s="2" t="s">
        <v>262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</row>
    <row r="31" spans="1:19" x14ac:dyDescent="0.2">
      <c r="A31" s="2" t="s">
        <v>266</v>
      </c>
    </row>
    <row r="32" spans="1:19" x14ac:dyDescent="0.2">
      <c r="A32" s="2" t="s">
        <v>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22"/>
  <sheetViews>
    <sheetView workbookViewId="0">
      <selection activeCell="B14" sqref="B14"/>
    </sheetView>
  </sheetViews>
  <sheetFormatPr defaultRowHeight="12.75" x14ac:dyDescent="0.2"/>
  <cols>
    <col min="1" max="1" width="17.7109375" customWidth="1"/>
  </cols>
  <sheetData>
    <row r="1" spans="1:1" x14ac:dyDescent="0.2">
      <c r="A1" s="1" t="s">
        <v>4</v>
      </c>
    </row>
    <row r="2" spans="1:1" x14ac:dyDescent="0.2">
      <c r="A2" s="1" t="s">
        <v>17</v>
      </c>
    </row>
    <row r="3" spans="1:1" x14ac:dyDescent="0.2">
      <c r="A3" s="1" t="s">
        <v>24</v>
      </c>
    </row>
    <row r="4" spans="1:1" x14ac:dyDescent="0.2">
      <c r="A4" s="1" t="s">
        <v>28</v>
      </c>
    </row>
    <row r="5" spans="1:1" x14ac:dyDescent="0.2">
      <c r="A5" s="1" t="s">
        <v>39</v>
      </c>
    </row>
    <row r="6" spans="1:1" x14ac:dyDescent="0.2">
      <c r="A6" s="1" t="s">
        <v>44</v>
      </c>
    </row>
    <row r="7" spans="1:1" x14ac:dyDescent="0.2">
      <c r="A7" s="11" t="s">
        <v>175</v>
      </c>
    </row>
    <row r="8" spans="1:1" x14ac:dyDescent="0.2">
      <c r="A8" s="11" t="s">
        <v>151</v>
      </c>
    </row>
    <row r="9" spans="1:1" x14ac:dyDescent="0.2">
      <c r="A9" s="1" t="s">
        <v>73</v>
      </c>
    </row>
    <row r="10" spans="1:1" x14ac:dyDescent="0.2">
      <c r="A10" s="1" t="s">
        <v>138</v>
      </c>
    </row>
    <row r="11" spans="1:1" x14ac:dyDescent="0.2">
      <c r="A11" s="1" t="s">
        <v>82</v>
      </c>
    </row>
    <row r="12" spans="1:1" x14ac:dyDescent="0.2">
      <c r="A12" s="1" t="s">
        <v>86</v>
      </c>
    </row>
    <row r="13" spans="1:1" x14ac:dyDescent="0.2">
      <c r="A13" s="2" t="s">
        <v>147</v>
      </c>
    </row>
    <row r="14" spans="1:1" x14ac:dyDescent="0.2">
      <c r="A14" s="1" t="s">
        <v>97</v>
      </c>
    </row>
    <row r="15" spans="1:1" x14ac:dyDescent="0.2">
      <c r="A15" s="1" t="s">
        <v>139</v>
      </c>
    </row>
    <row r="16" spans="1:1" x14ac:dyDescent="0.2">
      <c r="A16" s="1" t="s">
        <v>100</v>
      </c>
    </row>
    <row r="17" spans="1:1" x14ac:dyDescent="0.2">
      <c r="A17" s="2" t="s">
        <v>152</v>
      </c>
    </row>
    <row r="18" spans="1:1" x14ac:dyDescent="0.2">
      <c r="A18" s="1" t="s">
        <v>140</v>
      </c>
    </row>
    <row r="19" spans="1:1" x14ac:dyDescent="0.2">
      <c r="A19" s="11" t="s">
        <v>140</v>
      </c>
    </row>
    <row r="20" spans="1:1" x14ac:dyDescent="0.2">
      <c r="A20" s="1" t="s">
        <v>131</v>
      </c>
    </row>
    <row r="21" spans="1:1" x14ac:dyDescent="0.2">
      <c r="A21" s="11" t="s">
        <v>145</v>
      </c>
    </row>
    <row r="22" spans="1:1" x14ac:dyDescent="0.2">
      <c r="A22" s="11" t="s">
        <v>146</v>
      </c>
    </row>
  </sheetData>
  <sortState ref="A1:A22">
    <sortCondition ref="A1"/>
  </sortState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Test Results</vt:lpstr>
      <vt:lpstr>Score</vt:lpstr>
      <vt:lpstr>Manual Notes</vt:lpstr>
      <vt:lpstr>Did The Bonus</vt:lpstr>
      <vt:lpstr>ERRORS</vt:lpstr>
      <vt:lpstr>SCORES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Sivan Schick</dc:creator>
  <cp:lastModifiedBy>user</cp:lastModifiedBy>
  <dcterms:created xsi:type="dcterms:W3CDTF">2017-04-22T15:53:00Z</dcterms:created>
  <dcterms:modified xsi:type="dcterms:W3CDTF">2017-04-22T17:46:59Z</dcterms:modified>
</cp:coreProperties>
</file>